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Quarterly Financials" sheetId="2" state="visible" r:id="rId2"/>
    <sheet name="ARR &amp; Freemium Driver" sheetId="3" state="visible" r:id="rId3"/>
    <sheet name="Income Statement" sheetId="4" state="visible" r:id="rId4"/>
    <sheet name="Balance Sheet" sheetId="5" state="visible" r:id="rId5"/>
    <sheet name="Cash Flow &amp; Working Capital" sheetId="6" state="visible" r:id="rId6"/>
    <sheet name="DCF &amp; WACC" sheetId="7" state="visible" r:id="rId7"/>
    <sheet name="Scenarios" sheetId="8" state="visible" r:id="rId8"/>
    <sheet name="Sensitivity" sheetId="9" state="visible" r:id="rId9"/>
    <sheet name="Comps" sheetId="10" state="visible" r:id="rId10"/>
    <sheet name="Technicals" sheetId="11" state="visible" r:id="rId11"/>
    <sheet name="Catalysts" sheetId="12" state="visible" r:id="rId12"/>
    <sheet name="Sources &amp; Assumptions" sheetId="13" state="visible" r:id="rId13"/>
  </sheets>
  <definedNames>
    <definedName name="Cover_Price">Cover!$C$9</definedName>
    <definedName name="Cover_Shares">Cover!$C$11</definedName>
    <definedName name="Cover_MktCap">Cover!$C$12</definedName>
    <definedName name="Cover_Debt">Cover!$C$13</definedName>
    <definedName name="Cover_Cash">Cover!$C$14</definedName>
  </definedNames>
  <calcPr calcId="124519" fullCalcOnLoad="1"/>
</workbook>
</file>

<file path=xl/styles.xml><?xml version="1.0" encoding="utf-8"?>
<styleSheet xmlns="http://schemas.openxmlformats.org/spreadsheetml/2006/main">
  <numFmts count="11">
    <numFmt numFmtId="164" formatCode="$#,##0.00;($#,##0.00);&quot;-&quot;"/>
    <numFmt numFmtId="165" formatCode="#,##0.0;(#,##0.0);&quot;-&quot;"/>
    <numFmt numFmtId="166" formatCode="$#,##0;($#,##0);&quot;-&quot;"/>
    <numFmt numFmtId="167" formatCode="0.0%;(0.0%);&quot;-&quot;"/>
    <numFmt numFmtId="168" formatCode="0%;(0%);&quot;-&quot;"/>
    <numFmt numFmtId="169" formatCode="0.00%;(0.00%);&quot;-&quot;"/>
    <numFmt numFmtId="170" formatCode="#,##0;(#,##0);&quot;-&quot;"/>
    <numFmt numFmtId="171" formatCode="0.0&quot;d&quot;"/>
    <numFmt numFmtId="172" formatCode="0.0"/>
    <numFmt numFmtId="173" formatCode="0.000"/>
    <numFmt numFmtId="174" formatCode="0.0&quot;x&quot;"/>
  </numFmts>
  <fonts count="10">
    <font>
      <name val="Calibri"/>
      <family val="2"/>
      <color theme="1"/>
      <sz val="11"/>
      <scheme val="minor"/>
    </font>
    <font>
      <name val="Arial"/>
      <b val="1"/>
      <color rgb="001F3864"/>
      <sz val="16"/>
    </font>
    <font>
      <name val="Arial"/>
      <i val="1"/>
      <color rgb="00595959"/>
      <sz val="11"/>
    </font>
    <font>
      <name val="Arial"/>
      <i val="1"/>
      <color rgb="00595959"/>
      <sz val="9"/>
    </font>
    <font>
      <name val="Arial"/>
      <b val="1"/>
      <sz val="10"/>
    </font>
    <font>
      <name val="Arial"/>
      <color rgb="000000FF"/>
      <sz val="10"/>
    </font>
    <font>
      <name val="Arial"/>
      <b val="1"/>
      <color rgb="00FFFFFF"/>
      <sz val="12"/>
    </font>
    <font>
      <name val="Arial"/>
      <color rgb="00000000"/>
      <sz val="10"/>
    </font>
    <font>
      <name val="Arial"/>
      <b val="1"/>
      <color rgb="00FFFFFF"/>
      <sz val="10"/>
    </font>
    <font>
      <name val="Arial"/>
      <b val="1"/>
      <color rgb="000000FF"/>
      <sz val="10"/>
    </font>
  </fonts>
  <fills count="9">
    <fill>
      <patternFill/>
    </fill>
    <fill>
      <patternFill patternType="gray125"/>
    </fill>
    <fill>
      <patternFill patternType="solid">
        <fgColor rgb="002E5395"/>
      </patternFill>
    </fill>
    <fill>
      <patternFill patternType="solid">
        <fgColor rgb="00FCE4D6"/>
      </patternFill>
    </fill>
    <fill>
      <patternFill patternType="solid">
        <fgColor rgb="001F3864"/>
      </patternFill>
    </fill>
    <fill>
      <patternFill patternType="solid">
        <fgColor rgb="00D9E2F3"/>
      </patternFill>
    </fill>
    <fill>
      <patternFill patternType="solid">
        <fgColor rgb="00FFFF00"/>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horizontal="general" vertical="center" wrapText="1"/>
    </xf>
    <xf numFmtId="0" fontId="6" fillId="2" borderId="0" applyAlignment="1" pivotButton="0" quotePrefix="0" xfId="0">
      <alignment horizontal="left" vertical="center" indent="1"/>
    </xf>
    <xf numFmtId="0" fontId="7" fillId="0" borderId="0" pivotButton="0" quotePrefix="0" xfId="0"/>
    <xf numFmtId="164" fontId="5" fillId="0" borderId="0" pivotButton="0" quotePrefix="0" xfId="0"/>
    <xf numFmtId="165" fontId="5" fillId="0" borderId="0" pivotButton="0" quotePrefix="0" xfId="0"/>
    <xf numFmtId="166" fontId="7" fillId="0" borderId="0" pivotButton="0" quotePrefix="0" xfId="0"/>
    <xf numFmtId="166" fontId="5" fillId="0" borderId="0" pivotButton="0" quotePrefix="0" xfId="0"/>
    <xf numFmtId="2" fontId="5" fillId="0" borderId="0" pivotButton="0" quotePrefix="0" xfId="0"/>
    <xf numFmtId="164" fontId="7" fillId="0" borderId="0" pivotButton="0" quotePrefix="0" xfId="0"/>
    <xf numFmtId="168" fontId="7" fillId="0" borderId="0" pivotButton="0" quotePrefix="0" xfId="0"/>
    <xf numFmtId="164" fontId="4" fillId="5" borderId="0" pivotButton="0" quotePrefix="0" xfId="0"/>
    <xf numFmtId="164" fontId="4" fillId="6" borderId="0" pivotButton="0" quotePrefix="0" xfId="0"/>
    <xf numFmtId="168" fontId="4" fillId="0" borderId="0" pivotButton="0" quotePrefix="0" xfId="0"/>
    <xf numFmtId="0" fontId="3" fillId="3" borderId="0" applyAlignment="1" pivotButton="0" quotePrefix="0" xfId="0">
      <alignment horizontal="general" vertical="center" wrapText="1"/>
    </xf>
    <xf numFmtId="0" fontId="4" fillId="0" borderId="1" pivotButton="0" quotePrefix="0" xfId="0"/>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0" fillId="0" borderId="1" pivotButton="0" quotePrefix="0" xfId="0"/>
    <xf numFmtId="0" fontId="3" fillId="0" borderId="1" pivotButton="0" quotePrefix="0" xfId="0"/>
    <xf numFmtId="0" fontId="3" fillId="0" borderId="1" applyAlignment="1" pivotButton="0" quotePrefix="0" xfId="0">
      <alignment horizontal="center" vertical="center"/>
    </xf>
    <xf numFmtId="166" fontId="5" fillId="0" borderId="1" pivotButton="0" quotePrefix="0" xfId="0"/>
    <xf numFmtId="166" fontId="5" fillId="5" borderId="1" pivotButton="0" quotePrefix="0" xfId="0"/>
    <xf numFmtId="0" fontId="7" fillId="0" borderId="1" pivotButton="0" quotePrefix="0" xfId="0"/>
    <xf numFmtId="167" fontId="7" fillId="0" borderId="1" pivotButton="0" quotePrefix="0" xfId="0"/>
    <xf numFmtId="166" fontId="7" fillId="0" borderId="1" pivotButton="0" quotePrefix="0" xfId="0"/>
    <xf numFmtId="164" fontId="5" fillId="0" borderId="1" pivotButton="0" quotePrefix="0" xfId="0"/>
    <xf numFmtId="164" fontId="5" fillId="5" borderId="1" pivotButton="0" quotePrefix="0" xfId="0"/>
    <xf numFmtId="165" fontId="5" fillId="0" borderId="1" pivotButton="0" quotePrefix="0" xfId="0"/>
    <xf numFmtId="167" fontId="5" fillId="0" borderId="1" pivotButton="0" quotePrefix="0" xfId="0"/>
    <xf numFmtId="166" fontId="5" fillId="6" borderId="1" pivotButton="0" quotePrefix="0" xfId="0"/>
    <xf numFmtId="167" fontId="5" fillId="6" borderId="1" pivotButton="0" quotePrefix="0" xfId="0"/>
    <xf numFmtId="166" fontId="4" fillId="0" borderId="1" pivotButton="0" quotePrefix="0" xfId="0"/>
    <xf numFmtId="167" fontId="4" fillId="5" borderId="1" pivotButton="0" quotePrefix="0" xfId="0"/>
    <xf numFmtId="168" fontId="5" fillId="0" borderId="1" pivotButton="0" quotePrefix="0" xfId="0"/>
    <xf numFmtId="164" fontId="5" fillId="6" borderId="1" pivotButton="0" quotePrefix="0" xfId="0"/>
    <xf numFmtId="165" fontId="7" fillId="0" borderId="1" pivotButton="0" quotePrefix="0" xfId="0"/>
    <xf numFmtId="169" fontId="4" fillId="5" borderId="1" pivotButton="0" quotePrefix="0" xfId="0"/>
    <xf numFmtId="0" fontId="4" fillId="0" borderId="0" applyAlignment="1" pivotButton="0" quotePrefix="0" xfId="0">
      <alignment horizontal="general" vertical="center" wrapText="1"/>
    </xf>
    <xf numFmtId="167" fontId="9" fillId="5" borderId="1" applyAlignment="1" pivotButton="0" quotePrefix="0" xfId="0">
      <alignment horizontal="center" vertical="center"/>
    </xf>
    <xf numFmtId="170" fontId="9" fillId="5" borderId="1" applyAlignment="1" pivotButton="0" quotePrefix="0" xfId="0">
      <alignment horizontal="center" vertical="center"/>
    </xf>
    <xf numFmtId="166" fontId="4" fillId="5" borderId="1" pivotButton="0" quotePrefix="0" xfId="0"/>
    <xf numFmtId="169" fontId="4" fillId="6" borderId="1" pivotButton="0" quotePrefix="0" xfId="0"/>
    <xf numFmtId="164" fontId="7" fillId="0" borderId="1" pivotButton="0" quotePrefix="0" xfId="0"/>
    <xf numFmtId="2" fontId="5" fillId="6" borderId="1" pivotButton="0" quotePrefix="0" xfId="0"/>
    <xf numFmtId="171" fontId="7" fillId="0" borderId="1" pivotButton="0" quotePrefix="0" xfId="0"/>
    <xf numFmtId="171" fontId="5" fillId="6" borderId="1" pivotButton="0" quotePrefix="0" xfId="0"/>
    <xf numFmtId="167" fontId="7" fillId="5" borderId="1" pivotButton="0" quotePrefix="0" xfId="0"/>
    <xf numFmtId="172" fontId="5" fillId="6" borderId="1" pivotButton="0" quotePrefix="0" xfId="0"/>
    <xf numFmtId="173" fontId="7" fillId="0" borderId="1" pivotButton="0" quotePrefix="0" xfId="0"/>
    <xf numFmtId="166" fontId="7" fillId="5" borderId="1" pivotButton="0" quotePrefix="0" xfId="0"/>
    <xf numFmtId="168" fontId="7" fillId="0" borderId="1" pivotButton="0" quotePrefix="0" xfId="0"/>
    <xf numFmtId="174" fontId="7" fillId="0" borderId="1" pivotButton="0" quotePrefix="0" xfId="0"/>
    <xf numFmtId="164" fontId="7" fillId="5" borderId="1" pivotButton="0" quotePrefix="0" xfId="0"/>
    <xf numFmtId="169" fontId="7" fillId="5" borderId="1" pivotButton="0" quotePrefix="0" xfId="0"/>
    <xf numFmtId="0" fontId="5" fillId="5" borderId="1" applyAlignment="1" pivotButton="0" quotePrefix="0" xfId="0">
      <alignment vertical="top" wrapText="1"/>
    </xf>
    <xf numFmtId="174" fontId="5" fillId="6" borderId="1" pivotButton="0" quotePrefix="0" xfId="0"/>
    <xf numFmtId="168" fontId="7" fillId="5" borderId="1" pivotButton="0" quotePrefix="0" xfId="0"/>
    <xf numFmtId="168" fontId="5" fillId="6" borderId="1" pivotButton="0" quotePrefix="0" xfId="0"/>
    <xf numFmtId="164" fontId="7" fillId="6" borderId="1" pivotButton="0" quotePrefix="0" xfId="0"/>
    <xf numFmtId="164" fontId="4" fillId="6" borderId="1" pivotButton="0" quotePrefix="0" xfId="0"/>
    <xf numFmtId="0" fontId="8" fillId="4" borderId="1" applyAlignment="1" pivotButton="0" quotePrefix="0" xfId="0">
      <alignment horizontal="center" vertical="center" wrapText="1"/>
    </xf>
    <xf numFmtId="0" fontId="4" fillId="5" borderId="1" pivotButton="0" quotePrefix="0" xfId="0"/>
    <xf numFmtId="166" fontId="4" fillId="5" borderId="1" applyAlignment="1" pivotButton="0" quotePrefix="0" xfId="0">
      <alignment horizontal="center" vertical="center"/>
    </xf>
    <xf numFmtId="174" fontId="4" fillId="5" borderId="1" applyAlignment="1" pivotButton="0" quotePrefix="0" xfId="0">
      <alignment horizontal="center" vertical="center"/>
    </xf>
    <xf numFmtId="167" fontId="4" fillId="5" borderId="1" applyAlignment="1" pivotButton="0" quotePrefix="0" xfId="0">
      <alignment horizontal="center" vertical="center"/>
    </xf>
    <xf numFmtId="166" fontId="7" fillId="0" borderId="1" applyAlignment="1" pivotButton="0" quotePrefix="0" xfId="0">
      <alignment horizontal="center" vertical="center"/>
    </xf>
    <xf numFmtId="174" fontId="7" fillId="0" borderId="1" applyAlignment="1" pivotButton="0" quotePrefix="0" xfId="0">
      <alignment horizontal="center" vertical="center"/>
    </xf>
    <xf numFmtId="167" fontId="7" fillId="0" borderId="1" applyAlignment="1" pivotButton="0" quotePrefix="0" xfId="0">
      <alignment horizontal="center" vertical="center"/>
    </xf>
    <xf numFmtId="174" fontId="4" fillId="5" borderId="1" pivotButton="0" quotePrefix="0" xfId="0"/>
    <xf numFmtId="168" fontId="4" fillId="0" borderId="1" pivotButton="0" quotePrefix="0" xfId="0"/>
    <xf numFmtId="164" fontId="4" fillId="5" borderId="1" pivotButton="0" quotePrefix="0" xfId="0"/>
    <xf numFmtId="172" fontId="5" fillId="0" borderId="1" pivotButton="0" quotePrefix="0" xfId="0"/>
    <xf numFmtId="0" fontId="5" fillId="0" borderId="1" pivotButton="0" quotePrefix="0" xfId="0"/>
    <xf numFmtId="2" fontId="5" fillId="0" borderId="1" pivotButton="0" quotePrefix="0" xfId="0"/>
    <xf numFmtId="0" fontId="8" fillId="4" borderId="1" pivotButton="0" quotePrefix="0" xfId="0"/>
    <xf numFmtId="0" fontId="7" fillId="0" borderId="1" applyAlignment="1" pivotButton="0" quotePrefix="0" xfId="0">
      <alignment horizontal="general" vertical="center" wrapText="1"/>
    </xf>
    <xf numFmtId="167" fontId="4" fillId="7" borderId="1" pivotButton="0" quotePrefix="0" xfId="0"/>
    <xf numFmtId="0" fontId="7" fillId="0" borderId="1" applyAlignment="1" pivotButton="0" quotePrefix="0" xfId="0">
      <alignment horizontal="center" vertical="center"/>
    </xf>
    <xf numFmtId="0" fontId="3" fillId="0" borderId="1" applyAlignment="1" pivotButton="0" quotePrefix="0" xfId="0">
      <alignment horizontal="general" vertical="center" wrapText="1"/>
    </xf>
    <xf numFmtId="167" fontId="4" fillId="8" borderId="1" pivotButton="0" quotePrefix="0" xfId="0"/>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title>
      <tx>
        <rich>
          <a:bodyPr/>
          <a:p>
            <a:pPr>
              <a:defRPr/>
            </a:pPr>
            <a:r>
              <a:t>Quarterly revenue vs GAAP operating income ($mm)</a:t>
            </a:r>
          </a:p>
        </rich>
      </tx>
    </title>
    <plotArea>
      <barChart>
        <barDir val="col"/>
        <grouping val="clustered"/>
        <ser>
          <idx val="0"/>
          <order val="0"/>
          <tx>
            <strRef>
              <f>'Quarterly Financials'!B7</f>
            </strRef>
          </tx>
          <spPr>
            <a:ln>
              <a:prstDash val="solid"/>
            </a:ln>
          </spPr>
          <cat>
            <numRef>
              <f>'Quarterly Financials'!$C$5:$I$5</f>
            </numRef>
          </cat>
          <val>
            <numRef>
              <f>'Quarterly Financials'!$C$7:$I$7</f>
            </numRef>
          </val>
        </ser>
        <ser>
          <idx val="1"/>
          <order val="1"/>
          <tx>
            <strRef>
              <f>'Quarterly Financials'!B17</f>
            </strRef>
          </tx>
          <spPr>
            <a:ln>
              <a:prstDash val="solid"/>
            </a:ln>
          </spPr>
          <cat>
            <numRef>
              <f>'Quarterly Financials'!$C$5:$I$5</f>
            </numRef>
          </cat>
          <val>
            <numRef>
              <f>'Quarterly Financials'!$C$17:$I$17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Gross margin vs GAAP operating margin (%)</a:t>
            </a:r>
          </a:p>
        </rich>
      </tx>
    </title>
    <plotArea>
      <lineChart>
        <grouping val="standard"/>
        <ser>
          <idx val="0"/>
          <order val="0"/>
          <tx>
            <strRef>
              <f>'Quarterly Financials'!B11</f>
            </strRef>
          </tx>
          <spPr>
            <a:ln>
              <a:prstDash val="solid"/>
            </a:ln>
          </spPr>
          <marker>
            <symbol val="none"/>
            <spPr>
              <a:ln>
                <a:prstDash val="solid"/>
              </a:ln>
            </spPr>
          </marker>
          <cat>
            <numRef>
              <f>'Quarterly Financials'!$C$5:$I$5</f>
            </numRef>
          </cat>
          <val>
            <numRef>
              <f>'Quarterly Financials'!$C$11:$I$11</f>
            </numRef>
          </val>
        </ser>
        <ser>
          <idx val="1"/>
          <order val="1"/>
          <tx>
            <strRef>
              <f>'Quarterly Financials'!B18</f>
            </strRef>
          </tx>
          <spPr>
            <a:ln>
              <a:prstDash val="solid"/>
            </a:ln>
          </spPr>
          <marker>
            <symbol val="none"/>
            <spPr>
              <a:ln>
                <a:prstDash val="solid"/>
              </a:ln>
            </spPr>
          </marker>
          <cat>
            <numRef>
              <f>'Quarterly Financials'!$C$5:$I$5</f>
            </numRef>
          </cat>
          <val>
            <numRef>
              <f>'Quarterly Financials'!$C$18:$I$18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2"/>
  <chart>
    <title>
      <tx>
        <rich>
          <a:bodyPr/>
          <a:p>
            <a:pPr>
              <a:defRPr/>
            </a:pPr>
            <a:r>
              <a:t>ADBE monthly closing price ($) — Aug 2024 to Aug 2026</a:t>
            </a:r>
          </a:p>
        </rich>
      </tx>
    </title>
    <plotArea>
      <lineChart>
        <grouping val="standard"/>
        <ser>
          <idx val="0"/>
          <order val="0"/>
          <tx>
            <strRef>
              <f>'Technicals'!C45</f>
            </strRef>
          </tx>
          <spPr>
            <a:ln>
              <a:prstDash val="solid"/>
            </a:ln>
          </spPr>
          <marker>
            <symbol val="none"/>
            <spPr>
              <a:ln>
                <a:prstDash val="solid"/>
              </a:ln>
            </spPr>
          </marker>
          <cat>
            <numRef>
              <f>'Technicals'!$B$46:$B$70</f>
            </numRef>
          </cat>
          <val>
            <numRef>
              <f>'Technicals'!$C$46:$C$70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32</row>
      <rowOff>0</rowOff>
    </from>
    <ext cx="720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49</row>
      <rowOff>0</rowOff>
    </from>
    <ext cx="720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44</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F34"/>
  <sheetViews>
    <sheetView showGridLines="0" workbookViewId="0">
      <selection activeCell="A1" sqref="A1"/>
    </sheetView>
  </sheetViews>
  <sheetFormatPr baseColWidth="8" defaultRowHeight="15"/>
  <cols>
    <col width="3" customWidth="1" min="1" max="1"/>
    <col width="38" customWidth="1" min="2" max="2"/>
    <col width="16" customWidth="1" min="3" max="3"/>
    <col width="16" customWidth="1" min="4" max="4"/>
    <col width="14" customWidth="1" min="5" max="5"/>
    <col width="60" customWidth="1" min="6" max="6"/>
    <col width="3" customWidth="1" min="7" max="7"/>
  </cols>
  <sheetData>
    <row r="2">
      <c r="B2" s="1" t="inlineStr">
        <is>
          <t>ADOBE INC.</t>
        </is>
      </c>
    </row>
    <row r="3">
      <c r="B3" s="2" t="inlineStr">
        <is>
          <t>NASDAQ: ADBE — 3-Statement Model, Freemium-Funnel Driver Model &amp; DCF</t>
        </is>
      </c>
    </row>
    <row r="4">
      <c r="B4" s="3" t="inlineStr">
        <is>
          <t>Educational / illustrative model built from public filings — NOT investment advice</t>
        </is>
      </c>
    </row>
    <row r="5">
      <c r="B5" s="4" t="inlineStr">
        <is>
          <t>Model date:</t>
        </is>
      </c>
      <c r="C5" s="5" t="inlineStr">
        <is>
          <t>2026-08-29</t>
        </is>
      </c>
    </row>
    <row r="6">
      <c r="B6" s="4" t="inlineStr">
        <is>
          <t>Fiscal year end:</t>
        </is>
      </c>
      <c r="C6" s="5" t="inlineStr">
        <is>
          <t>Fri nearest 30 Nov (FY2025 ended 28 Nov 2025)</t>
        </is>
      </c>
      <c r="F6" s="6" t="inlineStr">
        <is>
          <t>FY2026 in progress; Q2 FY26 (ended 29 May 2026) is the last reported quarter. Q3 FY26 reports 10 Sep 2026 and is NOT in this model.</t>
        </is>
      </c>
    </row>
    <row r="8" ht="20" customHeight="1">
      <c r="A8" s="7" t="inlineStr">
        <is>
          <t>MARKET SNAPSHOT — each figure carries its own observation date</t>
        </is>
      </c>
    </row>
    <row r="9">
      <c r="B9" s="8" t="inlineStr">
        <is>
          <t>Share price</t>
        </is>
      </c>
      <c r="C9" s="9" t="n">
        <v>291.52</v>
      </c>
      <c r="F9" s="6" t="inlineStr">
        <is>
          <t>Yahoo Finance, close 28 Aug 2026 20:00 UTC</t>
        </is>
      </c>
    </row>
    <row r="10">
      <c r="B10" s="8" t="inlineStr">
        <is>
          <t>52-week high / low (intraday)</t>
        </is>
      </c>
      <c r="C10" s="5" t="inlineStr">
        <is>
          <t>$370.86 / $190.12</t>
        </is>
      </c>
      <c r="F10" s="6" t="inlineStr">
        <is>
          <t>Yahoo Finance, 28 Aug 2026. Closing basis: $367.46 (18 Sep 2025) / $193.41 (25 Jun 2026)</t>
        </is>
      </c>
    </row>
    <row r="11">
      <c r="B11" s="8" t="inlineStr">
        <is>
          <t>Shares outstanding (mm)</t>
        </is>
      </c>
      <c r="C11" s="10" t="n">
        <v>397.5</v>
      </c>
      <c r="F11" s="6" t="inlineStr">
        <is>
          <t>stockanalysis.com, 28 Aug 2026. XBRL CommonStockSharesOutstanding was 399.0mm at 29 May 2026</t>
        </is>
      </c>
    </row>
    <row r="12">
      <c r="B12" s="8" t="inlineStr">
        <is>
          <t>Market capitalization ($mm)</t>
        </is>
      </c>
      <c r="C12" s="11">
        <f>Cover_Price*Cover_Shares</f>
        <v/>
      </c>
      <c r="F12" s="6" t="inlineStr">
        <is>
          <t>Formula: price x shares outstanding</t>
        </is>
      </c>
    </row>
    <row r="13">
      <c r="B13" s="8" t="inlineStr">
        <is>
          <t>Total debt ($mm)</t>
        </is>
      </c>
      <c r="C13" s="12" t="n">
        <v>6645</v>
      </c>
      <c r="F13" s="6" t="inlineStr">
        <is>
          <t>10-Q 29 May 2026: $1,843mm current + $4,802mm long-term</t>
        </is>
      </c>
    </row>
    <row r="14">
      <c r="B14" s="8" t="inlineStr">
        <is>
          <t>Cash + short-term investments ($mm)</t>
        </is>
      </c>
      <c r="C14" s="12" t="n">
        <v>5626</v>
      </c>
      <c r="F14" s="6" t="inlineStr">
        <is>
          <t>10-Q 29 May 2026: $4,919mm cash + $707mm STI</t>
        </is>
      </c>
    </row>
    <row r="15">
      <c r="B15" s="8" t="inlineStr">
        <is>
          <t>Net cash / (net debt) ($mm)</t>
        </is>
      </c>
      <c r="C15" s="11">
        <f>C14-C13</f>
        <v/>
      </c>
      <c r="F15" s="6" t="inlineStr">
        <is>
          <t>Formula: cash - debt. Adobe is modestly NET DEBT after the Semrush deal</t>
        </is>
      </c>
    </row>
    <row r="16">
      <c r="B16" s="8" t="inlineStr">
        <is>
          <t>Enterprise value ($mm)</t>
        </is>
      </c>
      <c r="C16" s="11">
        <f>C12+C13-C14</f>
        <v/>
      </c>
      <c r="F16" s="6" t="inlineStr">
        <is>
          <t>Formula: market cap + debt - cash. Cross-check: stockanalysis.com $117,330mm</t>
        </is>
      </c>
    </row>
    <row r="17">
      <c r="B17" s="8" t="inlineStr">
        <is>
          <t>Beta (5-year)</t>
        </is>
      </c>
      <c r="C17" s="13" t="n">
        <v>1.4</v>
      </c>
      <c r="F17" s="6" t="inlineStr">
        <is>
          <t>stockanalysis.com, 28 Aug 2026. Methodologies differ by provider — cross-check before relying on WACC</t>
        </is>
      </c>
    </row>
    <row r="18">
      <c r="B18" s="8" t="inlineStr">
        <is>
          <t>Short interest (mm sh / % float)</t>
        </is>
      </c>
      <c r="C18" s="5" t="inlineStr">
        <is>
          <t>17.97mm / 4.54%</t>
        </is>
      </c>
      <c r="F18" s="6" t="inlineStr">
        <is>
          <t>stockanalysis.com, 28 Aug 2026 (settlement date lags ~2 weeks)</t>
        </is>
      </c>
    </row>
    <row r="20" ht="20" customHeight="1">
      <c r="A20" s="7" t="inlineStr">
        <is>
          <t>VALUATION SUMMARY (live — pulls from the Scenarios tab)</t>
        </is>
      </c>
    </row>
    <row r="21">
      <c r="B21" s="8" t="inlineStr">
        <is>
          <t>Bear case target</t>
        </is>
      </c>
      <c r="C21" s="14">
        <f>Scenarios!C37</f>
        <v/>
      </c>
      <c r="D21" s="15">
        <f>IFERROR(C21/Cover_Price-1,"n/m")</f>
        <v/>
      </c>
      <c r="E21" s="3" t="inlineStr">
        <is>
          <t>vs. price</t>
        </is>
      </c>
    </row>
    <row r="22">
      <c r="B22" s="8" t="inlineStr">
        <is>
          <t>Base case target</t>
        </is>
      </c>
      <c r="C22" s="14">
        <f>Scenarios!D37</f>
        <v/>
      </c>
      <c r="D22" s="15">
        <f>IFERROR(C22/Cover_Price-1,"n/m")</f>
        <v/>
      </c>
      <c r="E22" s="3" t="inlineStr">
        <is>
          <t>vs. price</t>
        </is>
      </c>
      <c r="F22" s="6" t="inlineStr">
        <is>
          <t>The Base case is NOT a house view that the stock is worth this: it is what Adobe's own guided FY2026 numbers, extended at a decelerating growth rate with a modest margin fade, are worth at a CAPM discount rate. The gap to the $291.52 price is the market's AI-disruption discount, and the reverse DCF on the DCF &amp; WACC tab measures it directly.</t>
        </is>
      </c>
    </row>
    <row r="23">
      <c r="B23" s="8" t="inlineStr">
        <is>
          <t>Bull case target</t>
        </is>
      </c>
      <c r="C23" s="14">
        <f>Scenarios!E37</f>
        <v/>
      </c>
      <c r="D23" s="15">
        <f>IFERROR(C23/Cover_Price-1,"n/m")</f>
        <v/>
      </c>
      <c r="E23" s="3" t="inlineStr">
        <is>
          <t>vs. price</t>
        </is>
      </c>
    </row>
    <row r="24">
      <c r="B24" s="4" t="inlineStr">
        <is>
          <t>Blended target (avg of DCF &amp; exit-multiple, Base)</t>
        </is>
      </c>
      <c r="C24" s="16">
        <f>Scenarios!D37</f>
        <v/>
      </c>
    </row>
    <row r="25">
      <c r="B25" s="4" t="inlineStr">
        <is>
          <t>Probability-weighted target (30% / 50% / 20%)</t>
        </is>
      </c>
      <c r="C25" s="17">
        <f>Scenarios!C40</f>
        <v/>
      </c>
    </row>
    <row r="26">
      <c r="B26" s="8" t="inlineStr">
        <is>
          <t>Upside / (downside) to probability-weighted target</t>
        </is>
      </c>
      <c r="C26" s="18">
        <f>Scenarios!C41</f>
        <v/>
      </c>
    </row>
    <row r="27">
      <c r="B27" s="8" t="inlineStr">
        <is>
          <t>Sell-side consensus target (40 analysts, 19 Aug 2026)</t>
        </is>
      </c>
      <c r="C27" s="9" t="n">
        <v>270.61</v>
      </c>
      <c r="F27" s="6" t="inlineStr">
        <is>
          <t>S&amp;P Global consensus via stockanalysis.com: 'Hold', mean $270.61, MEDIAN $250.00, range $190-$380. The stock closed 28 Aug 2026 ABOVE the mean target — the sell side has not caught up to the rally.</t>
        </is>
      </c>
    </row>
    <row r="29" ht="20" customHeight="1">
      <c r="A29" s="7" t="inlineStr">
        <is>
          <t>WHAT THIS MODEL IS AND ISN'T</t>
        </is>
      </c>
    </row>
    <row r="30" ht="120" customHeight="1">
      <c r="B30" s="6" t="inlineStr">
        <is>
          <t>A full 3-statement model (income statement, fully itemised balance sheet, cash flow) with a five-year explicit forecast feeding a DCF, plus a dedicated freemium-funnel driver model. Adobe genuinely needs the full build rather than one sensitivity grid: its value depends on the INTERACTION of (a) ARR growth, which management deliberately traded away in H2 FY26 to buy monthly active users, (b) gross margin, which is under real pressure from generative-AI inference cost sitting in subscription COGS, and (c) an ~$9bn/yr buyback that is retiring ~7% of the share count a year and is the single largest contributor to EPS growth. None of those three can be read off the others. Every yellow cell is an editable assumption, not a prediction. The specific uncertainties: whether a ~90mm creative-freemium MAU base converts to paid at a rate that replaces the deferred direct-to-paid ARR; whether Firefly/Acrobat AI pricing holds as OpenAI, Google and Canva give away adjacent capability; and who Adobe's next CEO is (search ongoing since Mar 2026).</t>
        </is>
      </c>
    </row>
    <row r="31" ht="30" customHeight="1">
      <c r="B31" s="6" t="inlineStr">
        <is>
          <t>Tabs: Quarterly Financials | ARR &amp; Freemium Driver | Income Statement | Balance Sheet | Cash Flow &amp; Working Capital | DCF &amp; WACC | Scenarios | Sensitivity | Comps | Technicals | Catalysts | Sources &amp; Assumptions</t>
        </is>
      </c>
    </row>
    <row r="33">
      <c r="B33" s="4" t="inlineStr">
        <is>
          <t>DISCLAIMER</t>
        </is>
      </c>
    </row>
    <row r="34" ht="30" customHeight="1">
      <c r="B34" s="19" t="inlineStr">
        <is>
          <t>Not investment, legal or tax advice. Built from public secondary sources and SEC filings at a point in time, not a live market-data terminal. Verify every decision-critical figure against primary sources.</t>
        </is>
      </c>
    </row>
  </sheetData>
  <mergeCells count="6">
    <mergeCell ref="B30:F30"/>
    <mergeCell ref="A29:E29"/>
    <mergeCell ref="A20:E20"/>
    <mergeCell ref="B34:F34"/>
    <mergeCell ref="B31:F31"/>
    <mergeCell ref="A8: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K3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s>
  <sheetData>
    <row r="2" ht="20" customHeight="1">
      <c r="A2" s="7" t="inlineStr">
        <is>
          <t>QUARTERLY TREND — $mm (the deceleration/reacceleration story lives here)</t>
        </is>
      </c>
    </row>
    <row r="3" ht="46" customHeight="1">
      <c r="B3" s="6" t="inlineStr">
        <is>
          <t>All figures from SEC filings: 10-Q income statements (EDGAR XBRL) and Adobe 8-K Ex-99.1 earnings releases. Q4 FY25 is DERIVED (FY2025 10-K total less Q1-Q3 10-Q figures) because Adobe does not tag a discrete Q4 in XBRL; the derived revenue of $6,194mm ties to the $6.19bn reported in the Q4 FY25 release. Q3 FY26 columns are GUIDANCE midpoints, not actuals.</t>
        </is>
      </c>
    </row>
    <row r="5">
      <c r="B5" s="20" t="inlineStr">
        <is>
          <t>Quarter ended</t>
        </is>
      </c>
      <c r="C5" s="21" t="inlineStr">
        <is>
          <t>Q1 FY25</t>
        </is>
      </c>
      <c r="D5" s="21" t="inlineStr">
        <is>
          <t>Q2 FY25</t>
        </is>
      </c>
      <c r="E5" s="21" t="inlineStr">
        <is>
          <t>Q3 FY25</t>
        </is>
      </c>
      <c r="F5" s="21" t="inlineStr">
        <is>
          <t>Q4 FY25</t>
        </is>
      </c>
      <c r="G5" s="21" t="inlineStr">
        <is>
          <t>Q1 FY26</t>
        </is>
      </c>
      <c r="H5" s="21" t="inlineStr">
        <is>
          <t>Q2 FY26</t>
        </is>
      </c>
      <c r="I5" s="22" t="inlineStr">
        <is>
          <t>Q3 FY26G</t>
        </is>
      </c>
      <c r="J5" s="23" t="n"/>
    </row>
    <row r="6">
      <c r="B6" s="24" t="inlineStr">
        <is>
          <t>Period end date</t>
        </is>
      </c>
      <c r="C6" s="25" t="inlineStr">
        <is>
          <t>2025-02-28</t>
        </is>
      </c>
      <c r="D6" s="25" t="inlineStr">
        <is>
          <t>2025-05-30</t>
        </is>
      </c>
      <c r="E6" s="25" t="inlineStr">
        <is>
          <t>2025-08-29</t>
        </is>
      </c>
      <c r="F6" s="25" t="inlineStr">
        <is>
          <t>2025-11-28</t>
        </is>
      </c>
      <c r="G6" s="25" t="inlineStr">
        <is>
          <t>2026-02-27</t>
        </is>
      </c>
      <c r="H6" s="25" t="inlineStr">
        <is>
          <t>2026-05-29</t>
        </is>
      </c>
      <c r="I6" s="25" t="inlineStr">
        <is>
          <t>2026-08-28E</t>
        </is>
      </c>
      <c r="J6" s="23" t="n"/>
    </row>
    <row r="7">
      <c r="B7" s="20" t="inlineStr">
        <is>
          <t>Total revenue</t>
        </is>
      </c>
      <c r="C7" s="26" t="n">
        <v>5714</v>
      </c>
      <c r="D7" s="26" t="n">
        <v>5873</v>
      </c>
      <c r="E7" s="26" t="n">
        <v>5988</v>
      </c>
      <c r="F7" s="26" t="n">
        <v>6194</v>
      </c>
      <c r="G7" s="26" t="n">
        <v>6398</v>
      </c>
      <c r="H7" s="26" t="n">
        <v>6618</v>
      </c>
      <c r="I7" s="27" t="n">
        <v>6695</v>
      </c>
      <c r="J7" s="23" t="n"/>
    </row>
    <row r="8">
      <c r="B8" s="28" t="inlineStr">
        <is>
          <t>Revenue growth YoY</t>
        </is>
      </c>
      <c r="C8" s="23" t="n"/>
      <c r="D8" s="23" t="n"/>
      <c r="E8" s="23" t="n"/>
      <c r="F8" s="23" t="n"/>
      <c r="G8" s="29">
        <f>IF(ISBLANK(G7),"n/a",IFERROR(G7/C7-1,"n/a"))</f>
        <v/>
      </c>
      <c r="H8" s="29">
        <f>IF(ISBLANK(H7),"n/a",IFERROR(H7/D7-1,"n/a"))</f>
        <v/>
      </c>
      <c r="I8" s="29">
        <f>IF(ISBLANK(I7),"n/a",IFERROR(I7/E7-1,"n/a"))</f>
        <v/>
      </c>
      <c r="J8" s="23" t="n"/>
    </row>
    <row r="9">
      <c r="B9" s="28" t="inlineStr">
        <is>
          <t>Total cost of revenue</t>
        </is>
      </c>
      <c r="C9" s="26" t="n">
        <v>622</v>
      </c>
      <c r="D9" s="26" t="n">
        <v>638</v>
      </c>
      <c r="E9" s="26" t="n">
        <v>642</v>
      </c>
      <c r="F9" s="26" t="n">
        <v>649</v>
      </c>
      <c r="G9" s="26" t="n">
        <v>664</v>
      </c>
      <c r="H9" s="26" t="n">
        <v>715</v>
      </c>
      <c r="I9" s="23" t="n"/>
      <c r="J9" s="23" t="n"/>
    </row>
    <row r="10">
      <c r="B10" s="20" t="inlineStr">
        <is>
          <t>Gross profit</t>
        </is>
      </c>
      <c r="C10" s="30">
        <f>IF(ISBLANK(C9),"n/a",C7-C9)</f>
        <v/>
      </c>
      <c r="D10" s="30">
        <f>IF(ISBLANK(D9),"n/a",D7-D9)</f>
        <v/>
      </c>
      <c r="E10" s="30">
        <f>IF(ISBLANK(E9),"n/a",E7-E9)</f>
        <v/>
      </c>
      <c r="F10" s="30">
        <f>IF(ISBLANK(F9),"n/a",F7-F9)</f>
        <v/>
      </c>
      <c r="G10" s="30">
        <f>IF(ISBLANK(G9),"n/a",G7-G9)</f>
        <v/>
      </c>
      <c r="H10" s="30">
        <f>IF(ISBLANK(H9),"n/a",H7-H9)</f>
        <v/>
      </c>
      <c r="I10" s="30">
        <f>IF(ISBLANK(I9),"n/a",I7-I9)</f>
        <v/>
      </c>
      <c r="J10" s="23" t="n"/>
    </row>
    <row r="11">
      <c r="B11" s="28" t="inlineStr">
        <is>
          <t>Gross margin %</t>
        </is>
      </c>
      <c r="C11" s="29">
        <f>IF(ISBLANK(C9),"n/a",IFERROR((C7-C9)/C7,"n/a"))</f>
        <v/>
      </c>
      <c r="D11" s="29">
        <f>IF(ISBLANK(D9),"n/a",IFERROR((D7-D9)/D7,"n/a"))</f>
        <v/>
      </c>
      <c r="E11" s="29">
        <f>IF(ISBLANK(E9),"n/a",IFERROR((E7-E9)/E7,"n/a"))</f>
        <v/>
      </c>
      <c r="F11" s="29">
        <f>IF(ISBLANK(F9),"n/a",IFERROR((F7-F9)/F7,"n/a"))</f>
        <v/>
      </c>
      <c r="G11" s="29">
        <f>IF(ISBLANK(G9),"n/a",IFERROR((G7-G9)/G7,"n/a"))</f>
        <v/>
      </c>
      <c r="H11" s="29">
        <f>IF(ISBLANK(H9),"n/a",IFERROR((H7-H9)/H7,"n/a"))</f>
        <v/>
      </c>
      <c r="I11" s="29">
        <f>IF(ISBLANK(I9),"n/a",IFERROR((I7-I9)/I7,"n/a"))</f>
        <v/>
      </c>
      <c r="J11" s="23" t="n"/>
    </row>
    <row r="12">
      <c r="B12" s="28" t="inlineStr">
        <is>
          <t>Research &amp; development</t>
        </is>
      </c>
      <c r="C12" s="26" t="n">
        <v>1026</v>
      </c>
      <c r="D12" s="26" t="n">
        <v>1082</v>
      </c>
      <c r="E12" s="26" t="n">
        <v>1088</v>
      </c>
      <c r="F12" s="26" t="n">
        <v>945</v>
      </c>
      <c r="G12" s="26" t="n">
        <v>1110</v>
      </c>
      <c r="H12" s="26" t="n">
        <v>1198</v>
      </c>
      <c r="I12" s="23" t="n"/>
      <c r="J12" s="23" t="n"/>
    </row>
    <row r="13">
      <c r="B13" s="28" t="inlineStr">
        <is>
          <t>Sales &amp; marketing</t>
        </is>
      </c>
      <c r="C13" s="26" t="n">
        <v>1495</v>
      </c>
      <c r="D13" s="26" t="n">
        <v>1626</v>
      </c>
      <c r="E13" s="26" t="n">
        <v>1639</v>
      </c>
      <c r="F13" s="26" t="n">
        <v>1728</v>
      </c>
      <c r="G13" s="26" t="n">
        <v>1708</v>
      </c>
      <c r="H13" s="26" t="n">
        <v>1884</v>
      </c>
      <c r="I13" s="23" t="n"/>
      <c r="J13" s="23" t="n"/>
    </row>
    <row r="14">
      <c r="B14" s="28" t="inlineStr">
        <is>
          <t>General &amp; administrative</t>
        </is>
      </c>
      <c r="C14" s="26" t="n">
        <v>367</v>
      </c>
      <c r="D14" s="26" t="n">
        <v>377</v>
      </c>
      <c r="E14" s="26" t="n">
        <v>408</v>
      </c>
      <c r="F14" s="26" t="n">
        <v>421</v>
      </c>
      <c r="G14" s="26" t="n">
        <v>463</v>
      </c>
      <c r="H14" s="26" t="n">
        <v>546</v>
      </c>
      <c r="I14" s="23" t="n"/>
      <c r="J14" s="23" t="n"/>
    </row>
    <row r="15">
      <c r="B15" s="28" t="inlineStr">
        <is>
          <t>Amortization of intangibles</t>
        </is>
      </c>
      <c r="C15" s="26" t="n">
        <v>41</v>
      </c>
      <c r="D15" s="26" t="n">
        <v>41</v>
      </c>
      <c r="E15" s="26" t="n">
        <v>38</v>
      </c>
      <c r="F15" s="26" t="n">
        <v>190</v>
      </c>
      <c r="G15" s="26" t="n">
        <v>35</v>
      </c>
      <c r="H15" s="26" t="n">
        <v>37</v>
      </c>
      <c r="I15" s="23" t="n"/>
      <c r="J15" s="23" t="n"/>
    </row>
    <row r="16">
      <c r="B16" s="28" t="inlineStr">
        <is>
          <t>Total operating expenses</t>
        </is>
      </c>
      <c r="C16" s="26" t="n">
        <v>2929</v>
      </c>
      <c r="D16" s="26" t="n">
        <v>3126</v>
      </c>
      <c r="E16" s="26" t="n">
        <v>3173</v>
      </c>
      <c r="F16" s="26" t="n">
        <v>3284</v>
      </c>
      <c r="G16" s="26" t="n">
        <v>3316</v>
      </c>
      <c r="H16" s="26" t="n">
        <v>3665</v>
      </c>
      <c r="I16" s="23" t="n"/>
      <c r="J16" s="23" t="n"/>
    </row>
    <row r="17">
      <c r="B17" s="20" t="inlineStr">
        <is>
          <t>GAAP operating income</t>
        </is>
      </c>
      <c r="C17" s="26" t="n">
        <v>2163</v>
      </c>
      <c r="D17" s="26" t="n">
        <v>2109</v>
      </c>
      <c r="E17" s="26" t="n">
        <v>2173</v>
      </c>
      <c r="F17" s="26" t="n">
        <v>2261</v>
      </c>
      <c r="G17" s="26" t="n">
        <v>2418</v>
      </c>
      <c r="H17" s="26" t="n">
        <v>2238</v>
      </c>
      <c r="I17" s="23" t="n"/>
      <c r="J17" s="23" t="n"/>
    </row>
    <row r="18">
      <c r="B18" s="28" t="inlineStr">
        <is>
          <t>GAAP operating margin %</t>
        </is>
      </c>
      <c r="C18" s="29">
        <f>IF(ISBLANK(C17),"n/a",IFERROR(C17/C7,"n/a"))</f>
        <v/>
      </c>
      <c r="D18" s="29">
        <f>IF(ISBLANK(D17),"n/a",IFERROR(D17/D7,"n/a"))</f>
        <v/>
      </c>
      <c r="E18" s="29">
        <f>IF(ISBLANK(E17),"n/a",IFERROR(E17/E7,"n/a"))</f>
        <v/>
      </c>
      <c r="F18" s="29">
        <f>IF(ISBLANK(F17),"n/a",IFERROR(F17/F7,"n/a"))</f>
        <v/>
      </c>
      <c r="G18" s="29">
        <f>IF(ISBLANK(G17),"n/a",IFERROR(G17/G7,"n/a"))</f>
        <v/>
      </c>
      <c r="H18" s="29">
        <f>IF(ISBLANK(H17),"n/a",IFERROR(H17/H7,"n/a"))</f>
        <v/>
      </c>
      <c r="I18" s="29">
        <f>IF(ISBLANK(I17),"n/a",IFERROR(I17/I7,"n/a"))</f>
        <v/>
      </c>
      <c r="J18" s="23" t="n"/>
    </row>
    <row r="19">
      <c r="B19" s="20" t="inlineStr">
        <is>
          <t>GAAP net income</t>
        </is>
      </c>
      <c r="C19" s="26" t="n">
        <v>1811</v>
      </c>
      <c r="D19" s="26" t="n">
        <v>1691</v>
      </c>
      <c r="E19" s="26" t="n">
        <v>1772</v>
      </c>
      <c r="F19" s="26" t="n">
        <v>1856</v>
      </c>
      <c r="G19" s="26" t="n">
        <v>1889</v>
      </c>
      <c r="H19" s="26" t="n">
        <v>1712</v>
      </c>
      <c r="I19" s="23" t="n"/>
      <c r="J19" s="23" t="n"/>
    </row>
    <row r="20">
      <c r="B20" s="20" t="inlineStr">
        <is>
          <t>GAAP diluted EPS</t>
        </is>
      </c>
      <c r="C20" s="31" t="n">
        <v>4.14</v>
      </c>
      <c r="D20" s="31" t="n">
        <v>3.94</v>
      </c>
      <c r="E20" s="31" t="n">
        <v>4.18</v>
      </c>
      <c r="F20" s="31" t="n">
        <v>4.45</v>
      </c>
      <c r="G20" s="31" t="n">
        <v>4.6</v>
      </c>
      <c r="H20" s="31" t="n">
        <v>4.25</v>
      </c>
      <c r="I20" s="32" t="n">
        <v>4.425</v>
      </c>
      <c r="J20" s="23" t="n"/>
    </row>
    <row r="21">
      <c r="B21" s="20" t="inlineStr">
        <is>
          <t>Non-GAAP diluted EPS</t>
        </is>
      </c>
      <c r="C21" s="23" t="n"/>
      <c r="D21" s="23" t="n"/>
      <c r="E21" s="31" t="n">
        <v>5.31</v>
      </c>
      <c r="F21" s="31" t="n">
        <v>5.5</v>
      </c>
      <c r="G21" s="31" t="n">
        <v>6.06</v>
      </c>
      <c r="H21" s="31" t="n">
        <v>5.96</v>
      </c>
      <c r="I21" s="32" t="n">
        <v>6.075</v>
      </c>
      <c r="J21" s="23" t="n"/>
    </row>
    <row r="22">
      <c r="B22" s="28" t="inlineStr">
        <is>
          <t>Cash flow from operations</t>
        </is>
      </c>
      <c r="C22" s="26" t="n">
        <v>2482</v>
      </c>
      <c r="D22" s="26" t="n">
        <v>2191</v>
      </c>
      <c r="E22" s="26" t="n">
        <v>2198</v>
      </c>
      <c r="F22" s="26" t="n">
        <v>3160</v>
      </c>
      <c r="G22" s="26" t="n">
        <v>2958</v>
      </c>
      <c r="H22" s="26" t="n">
        <v>2165</v>
      </c>
      <c r="I22" s="23" t="n"/>
      <c r="J22" s="23" t="n"/>
    </row>
    <row r="23">
      <c r="B23" s="28" t="inlineStr">
        <is>
          <t>Stock-based compensation</t>
        </is>
      </c>
      <c r="C23" s="26" t="n">
        <v>475</v>
      </c>
      <c r="D23" s="26" t="n">
        <v>481</v>
      </c>
      <c r="E23" s="26" t="n">
        <v>497</v>
      </c>
      <c r="F23" s="26" t="n">
        <v>489</v>
      </c>
      <c r="G23" s="26" t="n">
        <v>509</v>
      </c>
      <c r="H23" s="26" t="n">
        <v>534</v>
      </c>
      <c r="I23" s="23" t="n"/>
      <c r="J23" s="23" t="n"/>
    </row>
    <row r="24">
      <c r="B24" s="28" t="inlineStr">
        <is>
          <t>Depreciation, amortization &amp; accretion</t>
        </is>
      </c>
      <c r="C24" s="26" t="n">
        <v>217</v>
      </c>
      <c r="D24" s="26" t="n">
        <v>209</v>
      </c>
      <c r="E24" s="26" t="n">
        <v>208</v>
      </c>
      <c r="F24" s="26" t="n">
        <v>184</v>
      </c>
      <c r="G24" s="26" t="n">
        <v>174</v>
      </c>
      <c r="H24" s="26" t="n">
        <v>193</v>
      </c>
      <c r="I24" s="23" t="n"/>
      <c r="J24" s="23" t="n"/>
    </row>
    <row r="25">
      <c r="B25" s="28" t="inlineStr">
        <is>
          <t>Capital expenditures</t>
        </is>
      </c>
      <c r="C25" s="26" t="n">
        <v>26</v>
      </c>
      <c r="D25" s="26" t="n">
        <v>47</v>
      </c>
      <c r="E25" s="26" t="n">
        <v>72</v>
      </c>
      <c r="F25" s="26" t="n">
        <v>34</v>
      </c>
      <c r="G25" s="26" t="n">
        <v>37</v>
      </c>
      <c r="H25" s="26" t="n">
        <v>58</v>
      </c>
      <c r="I25" s="23" t="n"/>
      <c r="J25" s="23" t="n"/>
    </row>
    <row r="26">
      <c r="B26" s="28" t="inlineStr">
        <is>
          <t>Share repurchases ($mm)</t>
        </is>
      </c>
      <c r="C26" s="26" t="n">
        <v>3250</v>
      </c>
      <c r="D26" s="26" t="n">
        <v>3500</v>
      </c>
      <c r="E26" s="26" t="n">
        <v>2057</v>
      </c>
      <c r="F26" s="26" t="n">
        <v>2474</v>
      </c>
      <c r="G26" s="26" t="n">
        <v>2478</v>
      </c>
      <c r="H26" s="26" t="n">
        <v>2111</v>
      </c>
      <c r="I26" s="23" t="n"/>
      <c r="J26" s="23" t="n"/>
    </row>
    <row r="27">
      <c r="B27" s="28" t="inlineStr">
        <is>
          <t>Shares outstanding, period end (mm)</t>
        </is>
      </c>
      <c r="C27" s="33" t="n">
        <v>435</v>
      </c>
      <c r="D27" s="33" t="n">
        <v>427</v>
      </c>
      <c r="E27" s="33" t="n">
        <v>420</v>
      </c>
      <c r="F27" s="33" t="n">
        <v>413</v>
      </c>
      <c r="G27" s="33" t="n">
        <v>406</v>
      </c>
      <c r="H27" s="33" t="n">
        <v>399</v>
      </c>
      <c r="I27" s="23" t="n"/>
      <c r="J27" s="23" t="n"/>
    </row>
    <row r="28">
      <c r="B28" s="28" t="inlineStr">
        <is>
          <t>Remaining performance obligations</t>
        </is>
      </c>
      <c r="C28" s="23" t="n"/>
      <c r="D28" s="26" t="n">
        <v>19690</v>
      </c>
      <c r="E28" s="26" t="n">
        <v>20440</v>
      </c>
      <c r="F28" s="26" t="n">
        <v>22520</v>
      </c>
      <c r="G28" s="26" t="n">
        <v>22220</v>
      </c>
      <c r="H28" s="26" t="n">
        <v>22270</v>
      </c>
      <c r="I28" s="23" t="n"/>
      <c r="J28" s="23" t="n"/>
    </row>
    <row r="30" ht="88" customHeight="1">
      <c r="B30" s="6" t="inlineStr">
        <is>
          <t>READING THE TABLE. (1) Revenue growth ACCELERATED through FY26 (Q1 +12.0%, Q2 +12.7% as reported, ~11% constant currency) while GAAP operating margin FELL from 37.8% in Q1 FY26 to 33.8% in Q2 FY26 - the freemium push and the Semrush deal are being paid for out of the operating line. Q2 also carries a $70mm non-cash goodwill impairment on the Publishing &amp; Advertising unit ($0.17/sh). (2) Subscription cost of revenue grew 16.0% YoY in Q2 FY26 ($586mm vs $505mm) against 13.7% subscription revenue growth: generative-AI inference cost is landing in COGS. (3) Q1/Q2 FY25 non-GAAP EPS are left blank rather than estimated - Adobe's Q4 FY25 release reconciles only Q3, Q4 and the full year. (4) Q4 FY25 is derived (FY2025 10-K less the three 10-Qs); derived revenue of $6,194mm ties to the $6.19bn reported in the Q4 FY25 release, and derived operating income of $2,261mm ties to the reported $2.26bn.</t>
        </is>
      </c>
    </row>
  </sheetData>
  <mergeCells count="3">
    <mergeCell ref="A2:K2"/>
    <mergeCell ref="B3:K3"/>
    <mergeCell ref="B30:K3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2:I4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2" customWidth="1" min="2" max="2"/>
    <col width="14" customWidth="1" min="3" max="3"/>
    <col width="14" customWidth="1" min="4" max="4"/>
    <col width="14" customWidth="1" min="5" max="5"/>
    <col width="14" customWidth="1" min="6" max="6"/>
    <col width="14" customWidth="1" min="7" max="7"/>
    <col width="14" customWidth="1" min="8" max="8"/>
    <col width="3" customWidth="1" min="9" max="9"/>
  </cols>
  <sheetData>
    <row r="2" ht="20" customHeight="1">
      <c r="A2" s="7" t="inlineStr">
        <is>
          <t>PART A — THE ARR BRIDGE: WHAT MANAGEMENT TRADED AWAY IN H2 FY26</t>
        </is>
      </c>
    </row>
    <row r="3" ht="74" customHeight="1">
      <c r="B3" s="6" t="inlineStr">
        <is>
          <t>Adobe's valuation turns on one number: total ending Annualised Recurring Revenue growth. On 11 Jun 2026 management raised FY26 revenue and non-GAAP EPS while simultaneously LOWERING second-half ARR growth expectations, because it chose to route Adobe.com traffic into free Firefly / Express / Acrobat journeys instead of direct-to-paid, and deferred previously planned Creative Cloud 'line optimizations' (price and packaging changes). This block sizes that trade explicitly. Sources: Q2 FY26 and Q4 FY25 earnings releases and prepared remarks (Adobe IR, 11 Jun 2026 / 10 Dec 2025).</t>
        </is>
      </c>
    </row>
    <row r="5">
      <c r="C5" s="21" t="inlineStr">
        <is>
          <t>FY2025A exit</t>
        </is>
      </c>
      <c r="D5" s="21" t="inlineStr">
        <is>
          <t>Q1 FY26A exit</t>
        </is>
      </c>
      <c r="E5" s="21" t="inlineStr">
        <is>
          <t>Q2 FY26A exit</t>
        </is>
      </c>
      <c r="F5" s="21" t="inlineStr">
        <is>
          <t>FY2026 target exit</t>
        </is>
      </c>
    </row>
    <row r="6">
      <c r="B6" s="4" t="inlineStr">
        <is>
          <t>Total Adobe ending ARR ($mm)</t>
        </is>
      </c>
      <c r="C6" s="26" t="n">
        <v>25200</v>
      </c>
      <c r="D6" s="26" t="n">
        <v>26060</v>
      </c>
      <c r="E6" s="26" t="n">
        <v>27100</v>
      </c>
      <c r="F6" s="30">
        <f>C6*(1+C12)</f>
        <v/>
      </c>
    </row>
    <row r="7">
      <c r="B7" s="8" t="inlineStr">
        <is>
          <t>ARR growth YoY</t>
        </is>
      </c>
      <c r="C7" s="34" t="n">
        <v>0.115</v>
      </c>
      <c r="E7" s="34" t="n">
        <v>0.125</v>
      </c>
      <c r="I7" s="6" t="inlineStr">
        <is>
          <t>FY25 +11.5% and Q2 FY26 +12.5% are disclosed. Q1 FY26 YoY not disclosed under the new reporting basis.</t>
        </is>
      </c>
    </row>
    <row r="8">
      <c r="B8" s="8" t="inlineStr">
        <is>
          <t>Net-new ARR in period ($mm)</t>
        </is>
      </c>
      <c r="D8" s="30">
        <f>D6-C6</f>
        <v/>
      </c>
      <c r="E8" s="30">
        <f>E6-D6</f>
        <v/>
      </c>
    </row>
    <row r="9">
      <c r="B9" s="8" t="inlineStr">
        <is>
          <t xml:space="preserve">  of which Semrush (inorganic)</t>
        </is>
      </c>
      <c r="D9" s="35" t="n">
        <v>0</v>
      </c>
      <c r="E9" s="35" t="n">
        <v>480</v>
      </c>
      <c r="F9" s="35" t="n">
        <v>0</v>
      </c>
      <c r="I9" s="6" t="inlineStr">
        <is>
          <t>Semrush closed 28 Apr 2026 (Q2 FY26) for $1.87bn cash and added ~$480mm of ARR on day one.</t>
        </is>
      </c>
    </row>
    <row r="10">
      <c r="B10" s="4" t="inlineStr">
        <is>
          <t xml:space="preserve">  ORGANIC net-new ARR ($mm)</t>
        </is>
      </c>
      <c r="D10" s="30">
        <f>D8-D9</f>
        <v/>
      </c>
      <c r="E10" s="30">
        <f>E8-E9</f>
        <v/>
      </c>
    </row>
    <row r="12">
      <c r="B12" s="8" t="inlineStr">
        <is>
          <t>FY2026 guided total ending ARR growth</t>
        </is>
      </c>
      <c r="C12" s="36" t="n">
        <v>0.102</v>
      </c>
      <c r="I12" s="6" t="inlineStr">
        <is>
          <t>Company target, Q2 FY26 release, 11 Jun 2026. Includes Semrush.</t>
        </is>
      </c>
    </row>
    <row r="14" ht="20" customHeight="1">
      <c r="A14" s="7" t="inlineStr">
        <is>
          <t>THE H2 FY26 ARR DECELERATION, QUANTIFIED</t>
        </is>
      </c>
    </row>
    <row r="15">
      <c r="B15" s="8" t="inlineStr">
        <is>
          <t>H1 FY26 total net-new ARR ($mm)</t>
        </is>
      </c>
      <c r="C15" s="30">
        <f>E6-C6</f>
        <v/>
      </c>
    </row>
    <row r="16">
      <c r="B16" s="8" t="inlineStr">
        <is>
          <t xml:space="preserve">  less: Semrush inorganic ARR</t>
        </is>
      </c>
      <c r="C16" s="30">
        <f>-E9</f>
        <v/>
      </c>
    </row>
    <row r="17">
      <c r="B17" s="4" t="inlineStr">
        <is>
          <t>H1 FY26 ORGANIC net-new ARR ($mm)</t>
        </is>
      </c>
      <c r="C17" s="37">
        <f>C15+C16</f>
        <v/>
      </c>
    </row>
    <row r="18">
      <c r="B18" s="8" t="inlineStr">
        <is>
          <t>Implied H2 FY26 net-new ARR ($mm) = FY26 target less Q2 exit</t>
        </is>
      </c>
      <c r="C18" s="30">
        <f>F6-E6</f>
        <v/>
      </c>
      <c r="I18" s="6" t="inlineStr">
        <is>
          <t>This is the number the market reacted to. It is not disclosed directly - it is implied by the company's own FY26 ending-ARR target against its reported Q2 exit ARR.</t>
        </is>
      </c>
    </row>
    <row r="19">
      <c r="B19" s="8" t="inlineStr">
        <is>
          <t>Total Adobe ARR at Q2 FY25 exit ($mm), derived</t>
        </is>
      </c>
      <c r="C19" s="30">
        <f>E6/(1+E7)</f>
        <v/>
      </c>
      <c r="I19" s="6" t="inlineStr">
        <is>
          <t>Derived from the disclosed Q2 FY26 exit ARR of $27,100mm and its disclosed +12.5% YoY growth. Adobe did not report a total-company ARR figure for Q2 FY25 under the old segment basis - flagged as DERIVED.</t>
        </is>
      </c>
    </row>
    <row r="20">
      <c r="B20" s="8" t="inlineStr">
        <is>
          <t>H2 FY25 actual net-new ARR ($mm)</t>
        </is>
      </c>
      <c r="C20" s="30">
        <f>C6-C19</f>
        <v/>
      </c>
    </row>
    <row r="21">
      <c r="B21" s="4" t="inlineStr">
        <is>
          <t>H2 FY26 implied net-new ARR vs H2 FY25, YoY change</t>
        </is>
      </c>
      <c r="C21" s="38">
        <f>IFERROR(C18/C20-1,"n/m")</f>
        <v/>
      </c>
      <c r="I21" s="6" t="inlineStr">
        <is>
          <t>The single most important number on this tab.</t>
        </is>
      </c>
    </row>
    <row r="23" ht="88" customHeight="1">
      <c r="B23" s="6" t="inlineStr">
        <is>
          <t>So: Adobe added roughly $1.4bn of ORGANIC ARR in H1 FY26, then guided to roughly $0.7bn across the whole of H2 - against roughly $1.1bn of net-new ARR actually added in H2 FY25. That is an implied ~40% YoY DECLINE in half-yearly net-new ARR, disclosed on the same day as a revenue and non-GAAP EPS raise. Revenue is a lagging indicator of ARR (Adobe recognises subscription revenue ratably), so an ARR air-pocket in H2 FY26 shows up in reported revenue mostly in FY2027. The bull case is that this is a deliberate, temporary investment in a much larger funnel; the bear case is that the freemium pivot is a reaction to demand that was going to weaken anyway. Part B sizes what the funnel has to deliver.</t>
        </is>
      </c>
    </row>
    <row r="25" ht="20" customHeight="1">
      <c r="A25" s="7" t="inlineStr">
        <is>
          <t>PART B — THE FREEMIUM FUNNEL: MAU x PAID CONVERSION x ARPU</t>
        </is>
      </c>
    </row>
    <row r="26" ht="46" customHeight="1">
      <c r="B26" s="6" t="inlineStr">
        <is>
          <t>Every figure in the DISCLOSED block is from Adobe's Q2 FY26 prepared remarks (11 Jun 2026). Adobe does NOT disclose a freemium-to-paid conversion rate or a freemium ARPU - both are model assumptions and are marked yellow. The implied conversion economics row backs out what today's disclosed Firefly ARR implies, which is the only anchor available.</t>
        </is>
      </c>
    </row>
    <row r="27">
      <c r="B27" s="8" t="inlineStr">
        <is>
          <t>Creative freemium MAU (mm) - Firefly, Express, Premiere, Photoshop, Lightroom web/mobile</t>
        </is>
      </c>
      <c r="C27" s="33" t="n">
        <v>90</v>
      </c>
      <c r="I27" s="6" t="inlineStr">
        <is>
          <t>'Crossed 90 million, growing over 70% year over year' - Q2 FY26 prepared remarks. Was &gt;50mm a year earlier.</t>
        </is>
      </c>
    </row>
    <row r="28">
      <c r="B28" s="8" t="inlineStr">
        <is>
          <t>Business Professionals &amp; Consumers MAU (mm) - Acrobat + Express</t>
        </is>
      </c>
      <c r="C28" s="33" t="n">
        <v>850</v>
      </c>
      <c r="I28" s="6" t="inlineStr">
        <is>
          <t>'Surpassed 850 million, growing approximately 20% year over year' - Q2 FY26 prepared remarks. Was &gt;700mm a year earlier.</t>
        </is>
      </c>
    </row>
    <row r="29">
      <c r="B29" s="8" t="inlineStr">
        <is>
          <t>Firefly ending ARR ($mm) - apps, credit packs, Firefly Enterprise</t>
        </is>
      </c>
      <c r="C29" s="26" t="n">
        <v>300</v>
      </c>
      <c r="I29" s="6" t="inlineStr">
        <is>
          <t>'Approaching $300 million' exiting Q2 FY26; Firefly ARR grew ~50% QUARTER over quarter.</t>
        </is>
      </c>
    </row>
    <row r="30">
      <c r="B30" s="8" t="inlineStr">
        <is>
          <t>Total AI-first ARR ($mm)</t>
        </is>
      </c>
      <c r="C30" s="26" t="n">
        <v>500</v>
      </c>
      <c r="I30" s="6" t="inlineStr">
        <is>
          <t>'3X year over year increase in AI-first ARR to greater than $500 million' - Q2 FY26. ~1.8% of total ARR.</t>
        </is>
      </c>
    </row>
    <row r="31">
      <c r="B31" s="8" t="inlineStr">
        <is>
          <t>Adobe.com traffic growth YoY</t>
        </is>
      </c>
      <c r="C31" s="39" t="n">
        <v>0.4</v>
      </c>
      <c r="I31" s="6" t="inlineStr">
        <is>
          <t>'Traffic to Adobe.com, which grew over 40% year over year'; C&amp;CP traffic +50%, BP&amp;C traffic +35%.</t>
        </is>
      </c>
    </row>
    <row r="33">
      <c r="B33" s="4" t="inlineStr">
        <is>
          <t>ASSUMPTION — blended annual ARPU of a converted freemium user ($/yr)</t>
        </is>
      </c>
      <c r="C33" s="40" t="n">
        <v>120</v>
      </c>
      <c r="I33" s="6" t="inlineStr">
        <is>
          <t>MODEL ASSUMPTION, not disclosed. Firefly standard is ~$9.99/mo and Firefly Pro ~$29.99/mo list; $120/yr assumes a heavy skew to the entry tier plus promotional pricing. Edit this cell.</t>
        </is>
      </c>
    </row>
    <row r="34">
      <c r="B34" s="8" t="inlineStr">
        <is>
          <t>Implied paying creative-freemium users today (mm)</t>
        </is>
      </c>
      <c r="C34" s="41">
        <f>IFERROR(C29/C33,"n/m")</f>
        <v/>
      </c>
      <c r="I34" s="6" t="inlineStr">
        <is>
          <t>Formula: Firefly ARR in $mm divided by ARPU in $/yr. Units check: 2.5mm users x $120/yr = $300mm.</t>
        </is>
      </c>
    </row>
    <row r="35">
      <c r="B35" s="4" t="inlineStr">
        <is>
          <t>Implied paid conversion rate on today's creative freemium MAU</t>
        </is>
      </c>
      <c r="C35" s="42">
        <f>IFERROR(C34/C27,"n/m")</f>
        <v/>
      </c>
      <c r="I35" s="6" t="inlineStr">
        <is>
          <t>This is the single most useful number on the tab: it says roughly what share of the 90mm creative freemium base is paying anything today, on the stated ARPU assumption.</t>
        </is>
      </c>
    </row>
    <row r="37" ht="20" customHeight="1">
      <c r="A37" s="7" t="inlineStr">
        <is>
          <t>SENSITIVITY — CREATIVE FREEMIUM ARR ($mm) = MAU x CONVERSION x ARPU</t>
        </is>
      </c>
    </row>
    <row r="38">
      <c r="B38" s="43" t="inlineStr">
        <is>
          <t>Creative freemium MAU (mm) DOWN / paid conversion rate ACROSS</t>
        </is>
      </c>
      <c r="C38" s="44" t="n">
        <v>0.01</v>
      </c>
      <c r="D38" s="44" t="n">
        <v>0.02</v>
      </c>
      <c r="E38" s="44" t="n">
        <v>0.03</v>
      </c>
      <c r="F38" s="44" t="n">
        <v>0.045</v>
      </c>
      <c r="G38" s="44" t="n">
        <v>0.06</v>
      </c>
      <c r="H38" s="44" t="n">
        <v>0.08</v>
      </c>
    </row>
    <row r="39">
      <c r="B39" s="45" t="n">
        <v>90</v>
      </c>
      <c r="C39" s="30">
        <f>$B39*C$38*$C$33</f>
        <v/>
      </c>
      <c r="D39" s="30">
        <f>$B39*D$38*$C$33</f>
        <v/>
      </c>
      <c r="E39" s="30">
        <f>$B39*E$38*$C$33</f>
        <v/>
      </c>
      <c r="F39" s="30">
        <f>$B39*F$38*$C$33</f>
        <v/>
      </c>
      <c r="G39" s="30">
        <f>$B39*G$38*$C$33</f>
        <v/>
      </c>
      <c r="H39" s="30">
        <f>$B39*H$38*$C$33</f>
        <v/>
      </c>
    </row>
    <row r="40">
      <c r="B40" s="45" t="n">
        <v>130</v>
      </c>
      <c r="C40" s="30">
        <f>$B40*C$38*$C$33</f>
        <v/>
      </c>
      <c r="D40" s="30">
        <f>$B40*D$38*$C$33</f>
        <v/>
      </c>
      <c r="E40" s="30">
        <f>$B40*E$38*$C$33</f>
        <v/>
      </c>
      <c r="F40" s="30">
        <f>$B40*F$38*$C$33</f>
        <v/>
      </c>
      <c r="G40" s="30">
        <f>$B40*G$38*$C$33</f>
        <v/>
      </c>
      <c r="H40" s="30">
        <f>$B40*H$38*$C$33</f>
        <v/>
      </c>
    </row>
    <row r="41">
      <c r="B41" s="45" t="n">
        <v>180</v>
      </c>
      <c r="C41" s="30">
        <f>$B41*C$38*$C$33</f>
        <v/>
      </c>
      <c r="D41" s="30">
        <f>$B41*D$38*$C$33</f>
        <v/>
      </c>
      <c r="E41" s="30">
        <f>$B41*E$38*$C$33</f>
        <v/>
      </c>
      <c r="F41" s="30">
        <f>$B41*F$38*$C$33</f>
        <v/>
      </c>
      <c r="G41" s="30">
        <f>$B41*G$38*$C$33</f>
        <v/>
      </c>
      <c r="H41" s="30">
        <f>$B41*H$38*$C$33</f>
        <v/>
      </c>
    </row>
    <row r="42">
      <c r="B42" s="45" t="n">
        <v>240</v>
      </c>
      <c r="C42" s="30">
        <f>$B42*C$38*$C$33</f>
        <v/>
      </c>
      <c r="D42" s="30">
        <f>$B42*D$38*$C$33</f>
        <v/>
      </c>
      <c r="E42" s="30">
        <f>$B42*E$38*$C$33</f>
        <v/>
      </c>
      <c r="F42" s="30">
        <f>$B42*F$38*$C$33</f>
        <v/>
      </c>
      <c r="G42" s="30">
        <f>$B42*G$38*$C$33</f>
        <v/>
      </c>
      <c r="H42" s="30">
        <f>$B42*H$38*$C$33</f>
        <v/>
      </c>
    </row>
    <row r="43">
      <c r="B43" s="45" t="n">
        <v>320</v>
      </c>
      <c r="C43" s="30">
        <f>$B43*C$38*$C$33</f>
        <v/>
      </c>
      <c r="D43" s="30">
        <f>$B43*D$38*$C$33</f>
        <v/>
      </c>
      <c r="E43" s="30">
        <f>$B43*E$38*$C$33</f>
        <v/>
      </c>
      <c r="F43" s="30">
        <f>$B43*F$38*$C$33</f>
        <v/>
      </c>
      <c r="G43" s="30">
        <f>$B43*G$38*$C$33</f>
        <v/>
      </c>
      <c r="H43" s="30">
        <f>$B43*H$38*$C$33</f>
        <v/>
      </c>
    </row>
    <row r="44">
      <c r="B44" s="45" t="n">
        <v>420</v>
      </c>
      <c r="C44" s="30">
        <f>$B44*C$38*$C$33</f>
        <v/>
      </c>
      <c r="D44" s="30">
        <f>$B44*D$38*$C$33</f>
        <v/>
      </c>
      <c r="E44" s="30">
        <f>$B44*E$38*$C$33</f>
        <v/>
      </c>
      <c r="F44" s="30">
        <f>$B44*F$38*$C$33</f>
        <v/>
      </c>
      <c r="G44" s="30">
        <f>$B44*G$38*$C$33</f>
        <v/>
      </c>
      <c r="H44" s="30">
        <f>$B44*H$38*$C$33</f>
        <v/>
      </c>
    </row>
    <row r="46">
      <c r="B46" s="4" t="inlineStr">
        <is>
          <t>Memo: today's disclosed Firefly ARR</t>
        </is>
      </c>
      <c r="C46" s="46">
        <f>C29</f>
        <v/>
      </c>
    </row>
    <row r="47">
      <c r="B47" s="4" t="inlineStr">
        <is>
          <t>Memo: annualised ARR Adobe is deferring in H2 FY26 ($mm)</t>
        </is>
      </c>
      <c r="C47" s="46">
        <f>C20-C18</f>
        <v/>
      </c>
    </row>
    <row r="48">
      <c r="B48" s="4" t="inlineStr">
        <is>
          <t>Creative freemium conversion rate needed on TODAY'S 90mm MAU to replace it</t>
        </is>
      </c>
      <c r="C48" s="47">
        <f>IFERROR(C47/(C27*C33),"n/m")</f>
        <v/>
      </c>
    </row>
    <row r="49" ht="88" customHeight="1">
      <c r="B49" s="6" t="inlineStr">
        <is>
          <t>HOW TO READ THE GRID. The green band is where the freemium funnel becomes a genuine second revenue engine rather than a rounding error. The gradient runs far more steeply left-to-right than top-to-bottom: CONVERSION dominates MAU. Adobe can triple the funnel to 240mm users and still add less ARR than it would by lifting conversion from ~3% to ~6% on the base it already has. That is the falsifiable core of the bull case - and it is also why 'MAU grew from 50mm to 90mm' is not, on its own, evidence the strategy is working. Watch reported Firefly ARR against MAU each quarter: if Firefly ARR grows more slowly than MAU, conversion is FALLING and the trade is destroying ARR rather than deferring it.</t>
        </is>
      </c>
    </row>
  </sheetData>
  <mergeCells count="8">
    <mergeCell ref="B26:H26"/>
    <mergeCell ref="A25:H25"/>
    <mergeCell ref="B49:H49"/>
    <mergeCell ref="A2:H2"/>
    <mergeCell ref="A14:H14"/>
    <mergeCell ref="A37:H37"/>
    <mergeCell ref="B3:H3"/>
    <mergeCell ref="B23:H23"/>
  </mergeCells>
  <conditionalFormatting sqref="C39:H44">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2:K3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2" customWidth="1" min="3" max="3"/>
    <col width="12" customWidth="1" min="4" max="4"/>
    <col width="12" customWidth="1" min="5" max="5"/>
    <col width="12" customWidth="1" min="6" max="6"/>
    <col width="12" customWidth="1" min="7" max="7"/>
    <col width="12" customWidth="1" min="8" max="8"/>
    <col width="12" customWidth="1" min="9" max="9"/>
    <col width="3" customWidth="1" min="10" max="10"/>
    <col width="62" customWidth="1" min="11" max="11"/>
  </cols>
  <sheetData>
    <row r="2" ht="20" customHeight="1">
      <c r="A2" s="7" t="inlineStr">
        <is>
          <t>INCOME STATEMENT — $mm except per-share (fiscal year ends late November)</t>
        </is>
      </c>
    </row>
    <row r="3" ht="46" customHeight="1">
      <c r="B3" s="6" t="inlineStr">
        <is>
          <t>Grey columns = reported actuals (FY2024 and FY2025 10-K, EDGAR XBRL). Blue/yellow columns = explicit, editable forecast assumptions. FY2026E is NOT a free forecast: it is calibrated to Adobe's own 11 Jun 2026 guidance of $26.50-26.60bn revenue and $17.90-18.00 GAAP EPS, and reproduces both. Every later year is a scenario, not a prediction.</t>
        </is>
      </c>
    </row>
    <row r="5" ht="16" customHeight="1">
      <c r="B5" s="23" t="n"/>
      <c r="C5" s="21" t="inlineStr">
        <is>
          <t>FY2024A</t>
        </is>
      </c>
      <c r="D5" s="21" t="inlineStr">
        <is>
          <t>FY2025A</t>
        </is>
      </c>
      <c r="E5" s="22" t="inlineStr">
        <is>
          <t>FY2026E</t>
        </is>
      </c>
      <c r="F5" s="22" t="inlineStr">
        <is>
          <t>FY2027E</t>
        </is>
      </c>
      <c r="G5" s="22" t="inlineStr">
        <is>
          <t>FY2028E</t>
        </is>
      </c>
      <c r="H5" s="22" t="inlineStr">
        <is>
          <t>FY2029E</t>
        </is>
      </c>
      <c r="I5" s="22" t="inlineStr">
        <is>
          <t>FY2030E</t>
        </is>
      </c>
    </row>
    <row r="6">
      <c r="B6" s="20" t="inlineStr">
        <is>
          <t>Total revenue</t>
        </is>
      </c>
      <c r="C6" s="26" t="n">
        <v>21505</v>
      </c>
      <c r="D6" s="26" t="n">
        <v>23769</v>
      </c>
      <c r="E6" s="30">
        <f>D6*(1+E7)</f>
        <v/>
      </c>
      <c r="F6" s="30">
        <f>E6*(1+F7)</f>
        <v/>
      </c>
      <c r="G6" s="30">
        <f>F6*(1+G7)</f>
        <v/>
      </c>
      <c r="H6" s="30">
        <f>G6*(1+H7)</f>
        <v/>
      </c>
      <c r="I6" s="30">
        <f>H6*(1+I7)</f>
        <v/>
      </c>
      <c r="K6" s="6" t="inlineStr">
        <is>
          <t>FY24 and FY25 per 10-K (EDGAR XBRL tag Revenues). Forecast = prior year x (1 + growth below).</t>
        </is>
      </c>
    </row>
    <row r="7">
      <c r="B7" s="28" t="inlineStr">
        <is>
          <t xml:space="preserve">  Revenue growth YoY</t>
        </is>
      </c>
      <c r="C7" s="23" t="n"/>
      <c r="D7" s="29">
        <f>D6/C6-1</f>
        <v/>
      </c>
      <c r="E7" s="36" t="n">
        <v>0.117</v>
      </c>
      <c r="F7" s="36" t="n">
        <v>0.09</v>
      </c>
      <c r="G7" s="36" t="n">
        <v>0.08500000000000001</v>
      </c>
      <c r="H7" s="36" t="n">
        <v>0.08</v>
      </c>
      <c r="I7" s="36" t="n">
        <v>0.075</v>
      </c>
      <c r="K7" s="6" t="inlineStr">
        <is>
          <t>FY26E 11.70% reproduces the $26,550mm guidance midpoint exactly (23,769 x 1.1170 = 26,550). FY27E 9.0% lands at $28,940mm vs Street consensus of $28,920mm. Later years fade toward high-single-digit as the installed base matures and freemium mix dilutes ARPU.</t>
        </is>
      </c>
    </row>
    <row r="8">
      <c r="B8" s="28" t="inlineStr">
        <is>
          <t xml:space="preserve">  Gross margin %</t>
        </is>
      </c>
      <c r="C8" s="29">
        <f>1-2358/C6</f>
        <v/>
      </c>
      <c r="D8" s="29">
        <f>1-2551/D6</f>
        <v/>
      </c>
      <c r="E8" s="36" t="n">
        <v>0.89</v>
      </c>
      <c r="F8" s="36" t="n">
        <v>0.886</v>
      </c>
      <c r="G8" s="36" t="n">
        <v>0.883</v>
      </c>
      <c r="H8" s="36" t="n">
        <v>0.881</v>
      </c>
      <c r="I8" s="36" t="n">
        <v>0.879</v>
      </c>
      <c r="K8" s="6" t="inlineStr">
        <is>
          <t>FY24/FY25 derived from reported cost of revenue ($2,358mm / $2,551mm). The forecast fade is a deliberate thesis, not drift: in Q2 FY26 subscription cost of revenue grew 16.0% YoY against 13.7% subscription revenue growth, because generative-credit inference is a variable COGS item that a seat licence never was. If Adobe pushes free generation to 90mm+ MAU, this line gets worse before the paid conversion arrives.</t>
        </is>
      </c>
    </row>
    <row r="9">
      <c r="B9" s="28" t="inlineStr">
        <is>
          <t xml:space="preserve">  Cost of revenue</t>
        </is>
      </c>
      <c r="C9" s="30">
        <f>C6*(1-C8)</f>
        <v/>
      </c>
      <c r="D9" s="30">
        <f>D6*(1-D8)</f>
        <v/>
      </c>
      <c r="E9" s="30">
        <f>E6*(1-E8)</f>
        <v/>
      </c>
      <c r="F9" s="30">
        <f>F6*(1-F8)</f>
        <v/>
      </c>
      <c r="G9" s="30">
        <f>G6*(1-G8)</f>
        <v/>
      </c>
      <c r="H9" s="30">
        <f>H6*(1-H8)</f>
        <v/>
      </c>
      <c r="I9" s="30">
        <f>I6*(1-I8)</f>
        <v/>
      </c>
    </row>
    <row r="10">
      <c r="B10" s="20" t="inlineStr">
        <is>
          <t>Gross profit</t>
        </is>
      </c>
      <c r="C10" s="30">
        <f>C6*C8</f>
        <v/>
      </c>
      <c r="D10" s="30">
        <f>D6*D8</f>
        <v/>
      </c>
      <c r="E10" s="30">
        <f>E6*E8</f>
        <v/>
      </c>
      <c r="F10" s="30">
        <f>F6*F8</f>
        <v/>
      </c>
      <c r="G10" s="30">
        <f>G6*G8</f>
        <v/>
      </c>
      <c r="H10" s="30">
        <f>H6*H8</f>
        <v/>
      </c>
      <c r="I10" s="30">
        <f>I6*I8</f>
        <v/>
      </c>
    </row>
    <row r="11">
      <c r="B11" s="28" t="inlineStr">
        <is>
          <t xml:space="preserve">  R&amp;D % of revenue</t>
        </is>
      </c>
      <c r="C11" s="29">
        <f>3777/C6</f>
        <v/>
      </c>
      <c r="D11" s="29">
        <f>4141/D6</f>
        <v/>
      </c>
      <c r="E11" s="36" t="n">
        <v>0.176</v>
      </c>
      <c r="F11" s="36" t="n">
        <v>0.176</v>
      </c>
      <c r="G11" s="36" t="n">
        <v>0.175</v>
      </c>
      <c r="H11" s="36" t="n">
        <v>0.174</v>
      </c>
      <c r="I11" s="36" t="n">
        <v>0.173</v>
      </c>
      <c r="K11" s="6" t="inlineStr">
        <is>
          <t>FY24/FY25 R&amp;D derived as total operating expenses less S&amp;M, G&amp;A, intangible amortisation and the FY24 $1,000mm Figma termination fee (all EDGAR XBRL). H1 FY26 actual R&amp;D intensity was 17.73%.</t>
        </is>
      </c>
    </row>
    <row r="12">
      <c r="B12" s="28" t="inlineStr">
        <is>
          <t xml:space="preserve">  Research &amp; development</t>
        </is>
      </c>
      <c r="C12" s="30">
        <f>C6*C11</f>
        <v/>
      </c>
      <c r="D12" s="30">
        <f>D6*D11</f>
        <v/>
      </c>
      <c r="E12" s="30">
        <f>E6*E11</f>
        <v/>
      </c>
      <c r="F12" s="30">
        <f>F6*F11</f>
        <v/>
      </c>
      <c r="G12" s="30">
        <f>G6*G11</f>
        <v/>
      </c>
      <c r="H12" s="30">
        <f>H6*H11</f>
        <v/>
      </c>
      <c r="I12" s="30">
        <f>I6*I11</f>
        <v/>
      </c>
    </row>
    <row r="13">
      <c r="B13" s="28" t="inlineStr">
        <is>
          <t xml:space="preserve">  S&amp;M % of revenue</t>
        </is>
      </c>
      <c r="C13" s="29">
        <f>5764/C6</f>
        <v/>
      </c>
      <c r="D13" s="29">
        <f>6488/D6</f>
        <v/>
      </c>
      <c r="E13" s="36" t="n">
        <v>0.276</v>
      </c>
      <c r="F13" s="36" t="n">
        <v>0.274</v>
      </c>
      <c r="G13" s="36" t="n">
        <v>0.27</v>
      </c>
      <c r="H13" s="36" t="n">
        <v>0.267</v>
      </c>
      <c r="I13" s="36" t="n">
        <v>0.264</v>
      </c>
      <c r="K13" s="6" t="inlineStr">
        <is>
          <t>H1 FY26 actual 27.60%. Held elevated through FY26-27 because the freemium land-grab is a customer-acquisition spend, then fades ~30bp/yr as the funnel is expected to become organic.</t>
        </is>
      </c>
    </row>
    <row r="14">
      <c r="B14" s="28" t="inlineStr">
        <is>
          <t xml:space="preserve">  Sales &amp; marketing</t>
        </is>
      </c>
      <c r="C14" s="30">
        <f>C6*C13</f>
        <v/>
      </c>
      <c r="D14" s="30">
        <f>D6*D13</f>
        <v/>
      </c>
      <c r="E14" s="30">
        <f>E6*E13</f>
        <v/>
      </c>
      <c r="F14" s="30">
        <f>F6*F13</f>
        <v/>
      </c>
      <c r="G14" s="30">
        <f>G6*G13</f>
        <v/>
      </c>
      <c r="H14" s="30">
        <f>H6*H13</f>
        <v/>
      </c>
      <c r="I14" s="30">
        <f>I6*I13</f>
        <v/>
      </c>
    </row>
    <row r="15">
      <c r="B15" s="28" t="inlineStr">
        <is>
          <t xml:space="preserve">  G&amp;A % of revenue</t>
        </is>
      </c>
      <c r="C15" s="29">
        <f>1529/C6</f>
        <v/>
      </c>
      <c r="D15" s="29">
        <f>1573/D6</f>
        <v/>
      </c>
      <c r="E15" s="36" t="n">
        <v>0.078</v>
      </c>
      <c r="F15" s="36" t="n">
        <v>0.07000000000000001</v>
      </c>
      <c r="G15" s="36" t="n">
        <v>0.068</v>
      </c>
      <c r="H15" s="36" t="n">
        <v>0.066</v>
      </c>
      <c r="I15" s="36" t="n">
        <v>0.065</v>
      </c>
      <c r="K15" s="6" t="inlineStr">
        <is>
          <t>H1 FY26 actual 7.75%, elevated versus FY25's 6.62% (legal and settlement costs, including the $150mm DOJ/FTC ROSCA settlement approved Mar 2026, plus Semrush deal costs). Normalises from FY27E.</t>
        </is>
      </c>
    </row>
    <row r="16">
      <c r="B16" s="28" t="inlineStr">
        <is>
          <t xml:space="preserve">  General &amp; administrative</t>
        </is>
      </c>
      <c r="C16" s="30">
        <f>C6*C15</f>
        <v/>
      </c>
      <c r="D16" s="30">
        <f>D6*D15</f>
        <v/>
      </c>
      <c r="E16" s="30">
        <f>E6*E15</f>
        <v/>
      </c>
      <c r="F16" s="30">
        <f>F6*F15</f>
        <v/>
      </c>
      <c r="G16" s="30">
        <f>G6*G15</f>
        <v/>
      </c>
      <c r="H16" s="30">
        <f>H6*H15</f>
        <v/>
      </c>
      <c r="I16" s="30">
        <f>I6*I15</f>
        <v/>
      </c>
    </row>
    <row r="17">
      <c r="B17" s="28" t="inlineStr">
        <is>
          <t>Amortization of acquired intangibles</t>
        </is>
      </c>
      <c r="C17" s="26" t="n">
        <v>336</v>
      </c>
      <c r="D17" s="26" t="n">
        <v>310</v>
      </c>
      <c r="E17" s="35" t="n">
        <v>220</v>
      </c>
      <c r="F17" s="35" t="n">
        <v>250</v>
      </c>
      <c r="G17" s="35" t="n">
        <v>220</v>
      </c>
      <c r="H17" s="35" t="n">
        <v>180</v>
      </c>
      <c r="I17" s="35" t="n">
        <v>142</v>
      </c>
      <c r="K17" s="6" t="inlineStr">
        <is>
          <t>FY24/FY25 actual. FY26E-FY30E steps up then runs off the $517mm of intangibles recognised on the Semrush acquisition, sized so the intangibles balance it rolls on the Balance Sheet tab amortises to exactly zero by FY2030E rather than going negative.</t>
        </is>
      </c>
    </row>
    <row r="18">
      <c r="B18" s="28" t="inlineStr">
        <is>
          <t>Acquisition termination fee / goodwill impairment</t>
        </is>
      </c>
      <c r="C18" s="26" t="n">
        <v>1000</v>
      </c>
      <c r="D18" s="26" t="n">
        <v>0</v>
      </c>
      <c r="E18" s="35" t="n">
        <v>70</v>
      </c>
      <c r="F18" s="35" t="n">
        <v>0</v>
      </c>
      <c r="G18" s="35" t="n">
        <v>0</v>
      </c>
      <c r="H18" s="35" t="n">
        <v>0</v>
      </c>
      <c r="I18" s="35" t="n">
        <v>0</v>
      </c>
      <c r="K18" s="6" t="inlineStr">
        <is>
          <t>FY24 = the $1,000mm Figma deal termination fee. FY26E = the $70mm non-cash goodwill impairment on the Publishing &amp; Advertising reporting unit taken in Q2 FY26 ($0.17/sh). No further impairment assumed - an explicit choice, not an absence of one.</t>
        </is>
      </c>
    </row>
    <row r="19">
      <c r="B19" s="20" t="inlineStr">
        <is>
          <t>GAAP operating income (EBIT)</t>
        </is>
      </c>
      <c r="C19" s="30">
        <f>C10-C12-C14-C16-C17-C18</f>
        <v/>
      </c>
      <c r="D19" s="30">
        <f>D10-D12-D14-D16-D17-D18</f>
        <v/>
      </c>
      <c r="E19" s="30">
        <f>E10-E12-E14-E16-E17-E18</f>
        <v/>
      </c>
      <c r="F19" s="30">
        <f>F10-F12-F14-F16-F17-F18</f>
        <v/>
      </c>
      <c r="G19" s="30">
        <f>G10-G12-G14-G16-G17-G18</f>
        <v/>
      </c>
      <c r="H19" s="30">
        <f>H10-H12-H14-H16-H17-H18</f>
        <v/>
      </c>
      <c r="I19" s="30">
        <f>I10-I12-I14-I16-I17-I18</f>
        <v/>
      </c>
      <c r="K19" s="6" t="inlineStr">
        <is>
          <t>Ties to reported: FY24 $6,741mm, FY25 $8,706mm. FY26E lands ~$9.27bn vs the ~$9.24bn implied by the company's own GAAP EPS guidance and tax-rate/share-count assumptions.</t>
        </is>
      </c>
    </row>
    <row r="20">
      <c r="B20" s="28" t="inlineStr">
        <is>
          <t xml:space="preserve">  GAAP operating margin %</t>
        </is>
      </c>
      <c r="C20" s="29">
        <f>IFERROR(C19/C6,"n/a")</f>
        <v/>
      </c>
      <c r="D20" s="29">
        <f>IFERROR(D19/D6,"n/a")</f>
        <v/>
      </c>
      <c r="E20" s="29">
        <f>IFERROR(E19/E6,"n/a")</f>
        <v/>
      </c>
      <c r="F20" s="29">
        <f>IFERROR(F19/F6,"n/a")</f>
        <v/>
      </c>
      <c r="G20" s="29">
        <f>IFERROR(G19/G6,"n/a")</f>
        <v/>
      </c>
      <c r="H20" s="29">
        <f>IFERROR(H19/H6,"n/a")</f>
        <v/>
      </c>
      <c r="I20" s="29">
        <f>IFERROR(I19/I6,"n/a")</f>
        <v/>
      </c>
    </row>
    <row r="21">
      <c r="B21" s="23" t="n"/>
      <c r="C21" s="23" t="n"/>
      <c r="D21" s="23" t="n"/>
      <c r="E21" s="23" t="n"/>
      <c r="F21" s="23" t="n"/>
      <c r="G21" s="23" t="n"/>
      <c r="H21" s="23" t="n"/>
      <c r="I21" s="23" t="n"/>
    </row>
    <row r="22">
      <c r="B22" s="28" t="inlineStr">
        <is>
          <t>Yield on cash &amp; short-term investments (assumption)</t>
        </is>
      </c>
      <c r="C22" s="23" t="n"/>
      <c r="D22" s="23" t="n"/>
      <c r="E22" s="36" t="n">
        <v>0.036</v>
      </c>
      <c r="F22" s="36" t="n">
        <v>0.034</v>
      </c>
      <c r="G22" s="36" t="n">
        <v>0.033</v>
      </c>
      <c r="H22" s="36" t="n">
        <v>0.032</v>
      </c>
      <c r="I22" s="36" t="n">
        <v>0.032</v>
      </c>
      <c r="K22" s="6" t="inlineStr">
        <is>
          <t>Anchored to FY25 actual: $248mm of other income against ~$6.7bn average cash and investments = ~3.7%. Faded toward the forward short rate (FRED DGS3MO 3.84% on 27 Aug 2026). Runs off the PRIOR period's closing balances, which keeps the model acyclic.</t>
        </is>
      </c>
    </row>
    <row r="23">
      <c r="B23" s="28" t="inlineStr">
        <is>
          <t>Blended interest rate on debt (assumption)</t>
        </is>
      </c>
      <c r="C23" s="23" t="n"/>
      <c r="D23" s="23" t="n"/>
      <c r="E23" s="36" t="n">
        <v>0.042</v>
      </c>
      <c r="F23" s="36" t="n">
        <v>0.042</v>
      </c>
      <c r="G23" s="36" t="n">
        <v>0.042</v>
      </c>
      <c r="H23" s="36" t="n">
        <v>0.042</v>
      </c>
      <c r="I23" s="36" t="n">
        <v>0.042</v>
      </c>
      <c r="K23" s="6" t="inlineStr">
        <is>
          <t>FY25 interest expense of $263mm against ~$5.2bn average debt implies ~5.0%; Q2 FY26 interest expense of $65mm against $6,645mm of debt annualises to ~3.9%. 4.2% is the midpoint.</t>
        </is>
      </c>
    </row>
    <row r="24">
      <c r="B24" s="28" t="inlineStr">
        <is>
          <t>Interest &amp; investment income</t>
        </is>
      </c>
      <c r="C24" s="26" t="n">
        <v>311</v>
      </c>
      <c r="D24" s="26" t="n">
        <v>248</v>
      </c>
      <c r="E24" s="30">
        <f>('Balance Sheet'!D6+'Balance Sheet'!D7)*E22</f>
        <v/>
      </c>
      <c r="F24" s="30">
        <f>('Balance Sheet'!E6+'Balance Sheet'!E7)*F22</f>
        <v/>
      </c>
      <c r="G24" s="30">
        <f>('Balance Sheet'!F6+'Balance Sheet'!F7)*G22</f>
        <v/>
      </c>
      <c r="H24" s="30">
        <f>('Balance Sheet'!G6+'Balance Sheet'!G7)*H22</f>
        <v/>
      </c>
      <c r="I24" s="30">
        <f>('Balance Sheet'!H6+'Balance Sheet'!H7)*I22</f>
        <v/>
      </c>
      <c r="K24" s="6" t="inlineStr">
        <is>
          <t>FY24/FY25 = reported 'other income (expense), net', which for Adobe is overwhelmingly interest on cash and investments. Forecast = prior-period closing (cash + STI) x the yield above.</t>
        </is>
      </c>
    </row>
    <row r="25">
      <c r="B25" s="28" t="inlineStr">
        <is>
          <t>Interest expense</t>
        </is>
      </c>
      <c r="C25" s="26" t="n">
        <v>-169</v>
      </c>
      <c r="D25" s="26" t="n">
        <v>-263</v>
      </c>
      <c r="E25" s="30">
        <f>-'Balance Sheet'!D37*E23</f>
        <v/>
      </c>
      <c r="F25" s="30">
        <f>-'Balance Sheet'!E37*F23</f>
        <v/>
      </c>
      <c r="G25" s="30">
        <f>-'Balance Sheet'!F37*G23</f>
        <v/>
      </c>
      <c r="H25" s="30">
        <f>-'Balance Sheet'!G37*H23</f>
        <v/>
      </c>
      <c r="I25" s="30">
        <f>-'Balance Sheet'!H37*I23</f>
        <v/>
      </c>
      <c r="K25" s="6" t="inlineStr">
        <is>
          <t>FY24/FY25 derived from reported pre-tax income less operating income and the other non-operating components. Forecast = prior-period closing total debt x the blended rate above.</t>
        </is>
      </c>
    </row>
    <row r="26">
      <c r="B26" s="28" t="inlineStr">
        <is>
          <t>Investment gains / (losses), net</t>
        </is>
      </c>
      <c r="C26" s="26" t="n">
        <v>48</v>
      </c>
      <c r="D26" s="26" t="n">
        <v>43</v>
      </c>
      <c r="E26" s="35" t="n">
        <v>0</v>
      </c>
      <c r="F26" s="35" t="n">
        <v>0</v>
      </c>
      <c r="G26" s="35" t="n">
        <v>0</v>
      </c>
      <c r="H26" s="35" t="n">
        <v>0</v>
      </c>
      <c r="I26" s="35" t="n">
        <v>0</v>
      </c>
      <c r="K26" s="6" t="inlineStr">
        <is>
          <t>Reported actuals. Held at ZERO in every forecast year on purpose: these are mark-to-market moves on a venture portfolio and extrapolating them would flatter forward earnings with something that is not operating performance.</t>
        </is>
      </c>
    </row>
    <row r="27">
      <c r="B27" s="20" t="inlineStr">
        <is>
          <t>Pre-tax income</t>
        </is>
      </c>
      <c r="C27" s="30">
        <f>C19+C24+C25+C26</f>
        <v/>
      </c>
      <c r="D27" s="30">
        <f>D19+D24+D25+D26</f>
        <v/>
      </c>
      <c r="E27" s="30">
        <f>E19+E24+E25+E26</f>
        <v/>
      </c>
      <c r="F27" s="30">
        <f>F19+F24+F25+F26</f>
        <v/>
      </c>
      <c r="G27" s="30">
        <f>G19+G24+G25+G26</f>
        <v/>
      </c>
      <c r="H27" s="30">
        <f>H19+H24+H25+H26</f>
        <v/>
      </c>
      <c r="I27" s="30">
        <f>I19+I24+I25+I26</f>
        <v/>
      </c>
      <c r="K27" s="6" t="inlineStr">
        <is>
          <t>Ties to reported: FY24 $6,931mm, FY25 $8,734mm.</t>
        </is>
      </c>
    </row>
    <row r="28">
      <c r="B28" s="28" t="inlineStr">
        <is>
          <t>Effective tax rate</t>
        </is>
      </c>
      <c r="C28" s="29">
        <f>1371/C27</f>
        <v/>
      </c>
      <c r="D28" s="29">
        <f>1604/D27</f>
        <v/>
      </c>
      <c r="E28" s="36" t="n">
        <v>0.225</v>
      </c>
      <c r="F28" s="36" t="n">
        <v>0.215</v>
      </c>
      <c r="G28" s="36" t="n">
        <v>0.21</v>
      </c>
      <c r="H28" s="36" t="n">
        <v>0.21</v>
      </c>
      <c r="I28" s="36" t="n">
        <v>0.21</v>
      </c>
      <c r="K28" s="6" t="inlineStr">
        <is>
          <t>FY24/FY25 = reported tax expense over reported pre-tax income (18.4% in FY25 - unusually low, helped by discrete items). Adobe guides ~22.5% GAAP for FY26; the forecast eases to 21% thereafter.</t>
        </is>
      </c>
    </row>
    <row r="29">
      <c r="B29" s="28" t="inlineStr">
        <is>
          <t xml:space="preserve">  Income tax expense</t>
        </is>
      </c>
      <c r="C29" s="30">
        <f>C27*C28</f>
        <v/>
      </c>
      <c r="D29" s="30">
        <f>D27*D28</f>
        <v/>
      </c>
      <c r="E29" s="30">
        <f>E27*E28</f>
        <v/>
      </c>
      <c r="F29" s="30">
        <f>F27*F28</f>
        <v/>
      </c>
      <c r="G29" s="30">
        <f>G27*G28</f>
        <v/>
      </c>
      <c r="H29" s="30">
        <f>H27*H28</f>
        <v/>
      </c>
      <c r="I29" s="30">
        <f>I27*I28</f>
        <v/>
      </c>
    </row>
    <row r="30">
      <c r="B30" s="20" t="inlineStr">
        <is>
          <t>GAAP net income</t>
        </is>
      </c>
      <c r="C30" s="30">
        <f>C27-C29</f>
        <v/>
      </c>
      <c r="D30" s="30">
        <f>D27-D29</f>
        <v/>
      </c>
      <c r="E30" s="30">
        <f>E27-E29</f>
        <v/>
      </c>
      <c r="F30" s="30">
        <f>F27-F29</f>
        <v/>
      </c>
      <c r="G30" s="30">
        <f>G27-G29</f>
        <v/>
      </c>
      <c r="H30" s="30">
        <f>H27-H29</f>
        <v/>
      </c>
      <c r="I30" s="30">
        <f>I27-I29</f>
        <v/>
      </c>
      <c r="K30" s="6" t="inlineStr">
        <is>
          <t>Ties to reported: FY24 $5,560mm, FY25 $7,130mm.</t>
        </is>
      </c>
    </row>
    <row r="31">
      <c r="B31" s="23" t="n"/>
      <c r="C31" s="23" t="n"/>
      <c r="D31" s="23" t="n"/>
      <c r="E31" s="23" t="n"/>
      <c r="F31" s="23" t="n"/>
      <c r="G31" s="23" t="n"/>
      <c r="H31" s="23" t="n"/>
      <c r="I31" s="23" t="n"/>
    </row>
    <row r="32">
      <c r="B32" s="28" t="inlineStr">
        <is>
          <t>Assumed annual share price appreciation (buyback execution)</t>
        </is>
      </c>
      <c r="C32" s="23" t="n"/>
      <c r="D32" s="23" t="n"/>
      <c r="E32" s="36" t="n">
        <v>0.08</v>
      </c>
      <c r="F32" s="36" t="n">
        <v>0.08</v>
      </c>
      <c r="G32" s="36" t="n">
        <v>0.08</v>
      </c>
      <c r="H32" s="36" t="n">
        <v>0.08</v>
      </c>
      <c r="I32" s="36" t="n">
        <v>0.08</v>
      </c>
      <c r="K32" s="6" t="inlineStr">
        <is>
          <t>Holding the buyback at TODAY'S price while modelled EPS compounds at ~17% is internally inconsistent: it retires shares at a price the model's own earnings growth says will not persist. 8% a year is a deliberate, editable middle course; set it to 0% to see the maximum-retirement case, which adds roughly 8% to FY2030E EPS.</t>
        </is>
      </c>
    </row>
    <row r="33">
      <c r="B33" s="28" t="inlineStr">
        <is>
          <t>Assumed share price for buybacks &amp; SBC issuance ($)</t>
        </is>
      </c>
      <c r="C33" s="23" t="n"/>
      <c r="D33" s="23" t="n"/>
      <c r="E33" s="48">
        <f>Cover_Price</f>
        <v/>
      </c>
      <c r="F33" s="48">
        <f>E33*(1+F32)</f>
        <v/>
      </c>
      <c r="G33" s="48">
        <f>F33*(1+G32)</f>
        <v/>
      </c>
      <c r="H33" s="48">
        <f>G33*(1+H32)</f>
        <v/>
      </c>
      <c r="I33" s="48">
        <f>H33*(1+I32)</f>
        <v/>
      </c>
      <c r="K33" s="6" t="inlineStr">
        <is>
          <t>FY2026E executes at the 28 Aug 2026 close; later years compound at the rate above. Note this affects EPS only — it does NOT touch the DCF, because unlevered free cash flow is measured before financing.</t>
        </is>
      </c>
    </row>
    <row r="34">
      <c r="B34" s="28" t="inlineStr">
        <is>
          <t>SBC-to-share-issuance factor (net of tax withholding)</t>
        </is>
      </c>
      <c r="C34" s="23" t="n"/>
      <c r="D34" s="23" t="n"/>
      <c r="E34" s="49" t="n">
        <v>0.55</v>
      </c>
      <c r="F34" s="49" t="n">
        <v>0.55</v>
      </c>
      <c r="G34" s="49" t="n">
        <v>0.55</v>
      </c>
      <c r="H34" s="49" t="n">
        <v>0.55</v>
      </c>
      <c r="I34" s="49" t="n">
        <v>0.55</v>
      </c>
      <c r="K34" s="6" t="inlineStr">
        <is>
          <t>Fraction of gross SBC dollars that actually becomes NEW shares after RSUs are net-settled for tax. 0.55 is a market-typical net-settlement retention; a 1.00 factor (maximum dilution) would cut FY30E EPS by roughly 2%.</t>
        </is>
      </c>
    </row>
    <row r="35">
      <c r="B35" s="28" t="inlineStr">
        <is>
          <t>Shares outstanding, END of period (mm)</t>
        </is>
      </c>
      <c r="C35" s="33" t="n">
        <v>441</v>
      </c>
      <c r="D35" s="33" t="n">
        <v>413</v>
      </c>
      <c r="E35" s="41">
        <f>D35+('Cash Flow &amp; Working Capital'!E20*E34)/E33+'Cash Flow &amp; Working Capital'!E26/E33</f>
        <v/>
      </c>
      <c r="F35" s="41">
        <f>E35+('Cash Flow &amp; Working Capital'!F20*F34)/F33+'Cash Flow &amp; Working Capital'!F26/F33</f>
        <v/>
      </c>
      <c r="G35" s="41">
        <f>F35+('Cash Flow &amp; Working Capital'!G20*G34)/G33+'Cash Flow &amp; Working Capital'!G26/G33</f>
        <v/>
      </c>
      <c r="H35" s="41">
        <f>G35+('Cash Flow &amp; Working Capital'!H20*H34)/H33+'Cash Flow &amp; Working Capital'!H26/H33</f>
        <v/>
      </c>
      <c r="I35" s="41">
        <f>H35+('Cash Flow &amp; Working Capital'!I20*I34)/I33+'Cash Flow &amp; Working Capital'!I26/I33</f>
        <v/>
      </c>
      <c r="K35" s="6" t="inlineStr">
        <is>
          <t>FY24 (441mm at 29 Nov 2024) and FY25 (413mm at 28 Nov 2025) per the 10-Q/10-K cover and balance sheet share counts. Forecast = prior end + SBC-driven issuance - buyback retirement, both at TODAY'S share price. If the stock keeps rising, buybacks retire fewer shares than modelled.</t>
        </is>
      </c>
    </row>
    <row r="36">
      <c r="B36" s="28" t="inlineStr">
        <is>
          <t>Diluted shares, weighted average (mm)</t>
        </is>
      </c>
      <c r="C36" s="33" t="n">
        <v>450</v>
      </c>
      <c r="D36" s="41">
        <f>AVERAGE(C35,D35)</f>
        <v/>
      </c>
      <c r="E36" s="41">
        <f>AVERAGE(D35,E35)</f>
        <v/>
      </c>
      <c r="F36" s="41">
        <f>AVERAGE(E35,F35)</f>
        <v/>
      </c>
      <c r="G36" s="41">
        <f>AVERAGE(F35,G35)</f>
        <v/>
      </c>
      <c r="H36" s="41">
        <f>AVERAGE(G35,H35)</f>
        <v/>
      </c>
      <c r="I36" s="41">
        <f>AVERAGE(H35,I35)</f>
        <v/>
      </c>
      <c r="K36" s="6" t="inlineStr">
        <is>
          <t>Modelled as the average of opening and closing share count. Validation: AVERAGE(441, 413) = 427.0mm, which is EXACTLY Adobe's reported FY2025 diluted weighted-average share count; and the FY26E output of ~400mm matches the ~399mm the company assumes in its own FY26 guidance.</t>
        </is>
      </c>
    </row>
    <row r="37">
      <c r="B37" s="20" t="inlineStr">
        <is>
          <t>GAAP diluted EPS</t>
        </is>
      </c>
      <c r="C37" s="48">
        <f>IFERROR(C30/C36,"n/a")</f>
        <v/>
      </c>
      <c r="D37" s="48">
        <f>IFERROR(D30/D36,"n/a")</f>
        <v/>
      </c>
      <c r="E37" s="48">
        <f>IFERROR(E30/E36,"n/a")</f>
        <v/>
      </c>
      <c r="F37" s="48">
        <f>IFERROR(F30/F36,"n/a")</f>
        <v/>
      </c>
      <c r="G37" s="48">
        <f>IFERROR(G30/G36,"n/a")</f>
        <v/>
      </c>
      <c r="H37" s="48">
        <f>IFERROR(H30/H36,"n/a")</f>
        <v/>
      </c>
      <c r="I37" s="48">
        <f>IFERROR(I30/I36,"n/a")</f>
        <v/>
      </c>
      <c r="K37" s="6" t="inlineStr">
        <is>
          <t>Ties to reported: FY24 $12.36, FY25 $16.70. FY26E lands inside the company's $17.90-18.00 guide.</t>
        </is>
      </c>
    </row>
    <row r="38">
      <c r="B38" s="28" t="inlineStr">
        <is>
          <t>Non-GAAP tax rate (assumption)</t>
        </is>
      </c>
      <c r="C38" s="23" t="n"/>
      <c r="D38" s="23" t="n"/>
      <c r="E38" s="36" t="n">
        <v>0.18</v>
      </c>
      <c r="F38" s="36" t="n">
        <v>0.18</v>
      </c>
      <c r="G38" s="36" t="n">
        <v>0.18</v>
      </c>
      <c r="H38" s="36" t="n">
        <v>0.18</v>
      </c>
      <c r="I38" s="36" t="n">
        <v>0.18</v>
      </c>
      <c r="K38" s="6" t="inlineStr">
        <is>
          <t>Company guidance assumes ~18.0% for FY26.</t>
        </is>
      </c>
    </row>
    <row r="39">
      <c r="B39" s="28" t="inlineStr">
        <is>
          <t>MEMO: non-GAAP diluted EPS (model approximation)</t>
        </is>
      </c>
      <c r="C39" s="23" t="n"/>
      <c r="D39" s="23" t="n"/>
      <c r="E39" s="48">
        <f>IFERROR(((E19+'Cash Flow &amp; Working Capital'!E20+E17+E18+E24+E25)*(1-E38))/E36,"n/a")</f>
        <v/>
      </c>
      <c r="F39" s="48">
        <f>IFERROR(((F19+'Cash Flow &amp; Working Capital'!F20+F17+F18+F24+F25)*(1-F38))/F36,"n/a")</f>
        <v/>
      </c>
      <c r="G39" s="48">
        <f>IFERROR(((G19+'Cash Flow &amp; Working Capital'!G20+G17+G18+G24+G25)*(1-G38))/G36,"n/a")</f>
        <v/>
      </c>
      <c r="H39" s="48">
        <f>IFERROR(((H19+'Cash Flow &amp; Working Capital'!H20+H17+H18+H24+H25)*(1-H38))/H36,"n/a")</f>
        <v/>
      </c>
      <c r="I39" s="48">
        <f>IFERROR(((I19+'Cash Flow &amp; Working Capital'!I20+I17+I18+I24+I25)*(1-I38))/I36,"n/a")</f>
        <v/>
      </c>
      <c r="K39" s="6" t="inlineStr">
        <is>
          <t>Adds back SBC, intangible amortisation and the goodwill impairment, taxed at the non-GAAP rate. This lands ~2% BELOW the company's own $24.35-24.45 FY26 non-GAAP guide because Adobe adds back 'stock-based AND DEFERRED compensation', which runs ~4% above the SBC cash-flow line. Treat this row as a reconciliation aid, not as the company's measure.</t>
        </is>
      </c>
    </row>
  </sheetData>
  <mergeCells count="2">
    <mergeCell ref="B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K3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2" customWidth="1" min="3" max="3"/>
    <col width="12" customWidth="1" min="4" max="4"/>
    <col width="12" customWidth="1" min="5" max="5"/>
    <col width="12" customWidth="1" min="6" max="6"/>
    <col width="12" customWidth="1" min="7" max="7"/>
    <col width="12" customWidth="1" min="8" max="8"/>
    <col width="12" customWidth="1" min="9" max="9"/>
    <col width="3" customWidth="1" min="10" max="10"/>
    <col width="62" customWidth="1" min="11" max="11"/>
  </cols>
  <sheetData>
    <row r="2" ht="20" customHeight="1">
      <c r="A2" s="7" t="inlineStr">
        <is>
          <t>BALANCE SHEET — $mm</t>
        </is>
      </c>
    </row>
    <row r="3" ht="46" customHeight="1">
      <c r="B3" s="6" t="inlineStr">
        <is>
          <t>FY2025A (28 Nov 2025) is the historical anchor and is FULLY ITEMISED from the reported balance sheet — every line below is a real reported caption, so this model needs NO reconciling plug and total assets tie to the reported $29,496mm exactly. FY2024A is not built out as a full balance sheet; the projection only needs one clean starting point to roll forward from.</t>
        </is>
      </c>
    </row>
    <row r="5" ht="16" customHeight="1">
      <c r="B5" s="23" t="n"/>
      <c r="C5" s="21" t="inlineStr">
        <is>
          <t>FY2024A</t>
        </is>
      </c>
      <c r="D5" s="21" t="inlineStr">
        <is>
          <t>FY2025A</t>
        </is>
      </c>
      <c r="E5" s="22" t="inlineStr">
        <is>
          <t>FY2026E</t>
        </is>
      </c>
      <c r="F5" s="22" t="inlineStr">
        <is>
          <t>FY2027E</t>
        </is>
      </c>
      <c r="G5" s="22" t="inlineStr">
        <is>
          <t>FY2028E</t>
        </is>
      </c>
      <c r="H5" s="22" t="inlineStr">
        <is>
          <t>FY2029E</t>
        </is>
      </c>
      <c r="I5" s="22" t="inlineStr">
        <is>
          <t>FY2030E</t>
        </is>
      </c>
    </row>
    <row r="6">
      <c r="B6" s="28" t="inlineStr">
        <is>
          <t>Cash &amp; cash equivalents</t>
        </is>
      </c>
      <c r="C6" s="23" t="n"/>
      <c r="D6" s="26" t="n">
        <v>5431</v>
      </c>
      <c r="E6" s="30">
        <f>D6+'Cash Flow &amp; Working Capital'!E32</f>
        <v/>
      </c>
      <c r="F6" s="30">
        <f>E6+'Cash Flow &amp; Working Capital'!F32</f>
        <v/>
      </c>
      <c r="G6" s="30">
        <f>F6+'Cash Flow &amp; Working Capital'!G32</f>
        <v/>
      </c>
      <c r="H6" s="30">
        <f>G6+'Cash Flow &amp; Working Capital'!H32</f>
        <v/>
      </c>
      <c r="I6" s="30">
        <f>H6+'Cash Flow &amp; Working Capital'!I32</f>
        <v/>
      </c>
      <c r="K6" s="6" t="inlineStr">
        <is>
          <t>Plug — computed on the Cash Flow tab and linked here.</t>
        </is>
      </c>
    </row>
    <row r="7">
      <c r="B7" s="28" t="inlineStr">
        <is>
          <t>Short-term investments</t>
        </is>
      </c>
      <c r="C7" s="23" t="n"/>
      <c r="D7" s="26" t="n">
        <v>1164</v>
      </c>
      <c r="E7" s="35" t="n">
        <v>1164</v>
      </c>
      <c r="F7" s="35" t="n">
        <v>1164</v>
      </c>
      <c r="G7" s="35" t="n">
        <v>1164</v>
      </c>
      <c r="H7" s="35" t="n">
        <v>1164</v>
      </c>
      <c r="I7" s="35" t="n">
        <v>1164</v>
      </c>
      <c r="K7" s="6" t="inlineStr">
        <is>
          <t>Held flat — Adobe manages this as an excess-cash sleeve, not a growing portfolio.</t>
        </is>
      </c>
    </row>
    <row r="8">
      <c r="B8" s="28" t="inlineStr">
        <is>
          <t>Trade receivables, net</t>
        </is>
      </c>
      <c r="C8" s="23" t="n"/>
      <c r="D8" s="26" t="n">
        <v>2344</v>
      </c>
      <c r="E8" s="30">
        <f>('Cash Flow &amp; Working Capital'!E5/365)*'Income Statement'!E6</f>
        <v/>
      </c>
      <c r="F8" s="30">
        <f>('Cash Flow &amp; Working Capital'!F5/365)*'Income Statement'!F6</f>
        <v/>
      </c>
      <c r="G8" s="30">
        <f>('Cash Flow &amp; Working Capital'!G5/365)*'Income Statement'!G6</f>
        <v/>
      </c>
      <c r="H8" s="30">
        <f>('Cash Flow &amp; Working Capital'!H5/365)*'Income Statement'!H6</f>
        <v/>
      </c>
      <c r="I8" s="30">
        <f>('Cash Flow &amp; Working Capital'!I5/365)*'Income Statement'!I6</f>
        <v/>
      </c>
      <c r="K8" s="6" t="inlineStr">
        <is>
          <t>Projected via DSO on the Cash Flow tab.</t>
        </is>
      </c>
    </row>
    <row r="9">
      <c r="B9" s="28" t="inlineStr">
        <is>
          <t>Prepaid expenses &amp; other current assets</t>
        </is>
      </c>
      <c r="C9" s="23" t="n"/>
      <c r="D9" s="26" t="n">
        <v>1224</v>
      </c>
      <c r="E9" s="30">
        <f>'Income Statement'!E6*'Cash Flow &amp; Working Capital'!E6</f>
        <v/>
      </c>
      <c r="F9" s="30">
        <f>'Income Statement'!F6*'Cash Flow &amp; Working Capital'!F6</f>
        <v/>
      </c>
      <c r="G9" s="30">
        <f>'Income Statement'!G6*'Cash Flow &amp; Working Capital'!G6</f>
        <v/>
      </c>
      <c r="H9" s="30">
        <f>'Income Statement'!H6*'Cash Flow &amp; Working Capital'!H6</f>
        <v/>
      </c>
      <c r="I9" s="30">
        <f>'Income Statement'!I6*'Cash Flow &amp; Working Capital'!I6</f>
        <v/>
      </c>
      <c r="K9" s="6" t="inlineStr">
        <is>
          <t>Projected as % of revenue.</t>
        </is>
      </c>
    </row>
    <row r="10">
      <c r="B10" s="20" t="inlineStr">
        <is>
          <t>Total current assets</t>
        </is>
      </c>
      <c r="C10" s="23" t="n"/>
      <c r="D10" s="30">
        <f>D6+D7+D8+D9</f>
        <v/>
      </c>
      <c r="E10" s="30">
        <f>E6+E7+E8+E9</f>
        <v/>
      </c>
      <c r="F10" s="30">
        <f>F6+F7+F8+F9</f>
        <v/>
      </c>
      <c r="G10" s="30">
        <f>G6+G7+G8+G9</f>
        <v/>
      </c>
      <c r="H10" s="30">
        <f>H6+H7+H8+H9</f>
        <v/>
      </c>
      <c r="I10" s="30">
        <f>I6+I7+I8+I9</f>
        <v/>
      </c>
    </row>
    <row r="11">
      <c r="B11" s="28" t="inlineStr">
        <is>
          <t>Property &amp; equipment, net</t>
        </is>
      </c>
      <c r="C11" s="23" t="n"/>
      <c r="D11" s="26" t="n">
        <v>1873</v>
      </c>
      <c r="E11" s="30">
        <f>D11+'Cash Flow &amp; Working Capital'!E12-'Cash Flow &amp; Working Capital'!E13</f>
        <v/>
      </c>
      <c r="F11" s="30">
        <f>E11+'Cash Flow &amp; Working Capital'!F12-'Cash Flow &amp; Working Capital'!F13</f>
        <v/>
      </c>
      <c r="G11" s="30">
        <f>F11+'Cash Flow &amp; Working Capital'!G12-'Cash Flow &amp; Working Capital'!G13</f>
        <v/>
      </c>
      <c r="H11" s="30">
        <f>G11+'Cash Flow &amp; Working Capital'!H12-'Cash Flow &amp; Working Capital'!H13</f>
        <v/>
      </c>
      <c r="I11" s="30">
        <f>H11+'Cash Flow &amp; Working Capital'!I12-'Cash Flow &amp; Working Capital'!I13</f>
        <v/>
      </c>
      <c r="K11" s="6" t="inlineStr">
        <is>
          <t>Rolls forward: prior + capex - depreciation.</t>
        </is>
      </c>
    </row>
    <row r="12">
      <c r="B12" s="28" t="inlineStr">
        <is>
          <t>Operating lease right-of-use assets</t>
        </is>
      </c>
      <c r="C12" s="23" t="n"/>
      <c r="D12" s="26" t="n">
        <v>312</v>
      </c>
      <c r="E12" s="35" t="n">
        <v>312</v>
      </c>
      <c r="F12" s="35" t="n">
        <v>312</v>
      </c>
      <c r="G12" s="35" t="n">
        <v>312</v>
      </c>
      <c r="H12" s="35" t="n">
        <v>312</v>
      </c>
      <c r="I12" s="35" t="n">
        <v>312</v>
      </c>
      <c r="K12" s="6" t="inlineStr">
        <is>
          <t>Held flat.</t>
        </is>
      </c>
    </row>
    <row r="13">
      <c r="B13" s="28" t="inlineStr">
        <is>
          <t>Goodwill</t>
        </is>
      </c>
      <c r="C13" s="23" t="n"/>
      <c r="D13" s="26" t="n">
        <v>12857</v>
      </c>
      <c r="E13" s="30">
        <f>D13+'Cash Flow &amp; Working Capital'!E28-'Income Statement'!E18</f>
        <v/>
      </c>
      <c r="F13" s="30">
        <f>E13+'Cash Flow &amp; Working Capital'!F28-'Income Statement'!F18</f>
        <v/>
      </c>
      <c r="G13" s="30">
        <f>F13+'Cash Flow &amp; Working Capital'!G28-'Income Statement'!G18</f>
        <v/>
      </c>
      <c r="H13" s="30">
        <f>G13+'Cash Flow &amp; Working Capital'!H28-'Income Statement'!H18</f>
        <v/>
      </c>
      <c r="I13" s="30">
        <f>H13+'Cash Flow &amp; Working Capital'!I28-'Income Statement'!I18</f>
        <v/>
      </c>
      <c r="K13" s="6" t="inlineStr">
        <is>
          <t>Rolls forward: prior + goodwill from acquisitions - impairment. FY26E lands at $14,041mm, the reported Q2 FY26 balance.</t>
        </is>
      </c>
    </row>
    <row r="14">
      <c r="B14" s="28" t="inlineStr">
        <is>
          <t>Other intangibles, net</t>
        </is>
      </c>
      <c r="C14" s="23" t="n"/>
      <c r="D14" s="26" t="n">
        <v>495</v>
      </c>
      <c r="E14" s="30">
        <f>D14+'Cash Flow &amp; Working Capital'!E29-'Income Statement'!E17</f>
        <v/>
      </c>
      <c r="F14" s="30">
        <f>E14+'Cash Flow &amp; Working Capital'!F29-'Income Statement'!F17</f>
        <v/>
      </c>
      <c r="G14" s="30">
        <f>F14+'Cash Flow &amp; Working Capital'!G29-'Income Statement'!G17</f>
        <v/>
      </c>
      <c r="H14" s="30">
        <f>G14+'Cash Flow &amp; Working Capital'!H29-'Income Statement'!H17</f>
        <v/>
      </c>
      <c r="I14" s="30">
        <f>H14+'Cash Flow &amp; Working Capital'!I29-'Income Statement'!I17</f>
        <v/>
      </c>
      <c r="K14" s="6" t="inlineStr">
        <is>
          <t>Rolls forward: prior + intangibles from acquisitions - amortisation (Income Statement).</t>
        </is>
      </c>
    </row>
    <row r="15">
      <c r="B15" s="28" t="inlineStr">
        <is>
          <t>Deferred income taxes</t>
        </is>
      </c>
      <c r="C15" s="23" t="n"/>
      <c r="D15" s="26" t="n">
        <v>2186</v>
      </c>
      <c r="E15" s="35" t="n">
        <v>2186</v>
      </c>
      <c r="F15" s="35" t="n">
        <v>2186</v>
      </c>
      <c r="G15" s="35" t="n">
        <v>2186</v>
      </c>
      <c r="H15" s="35" t="n">
        <v>2186</v>
      </c>
      <c r="I15" s="35" t="n">
        <v>2186</v>
      </c>
      <c r="K15" s="6" t="inlineStr">
        <is>
          <t>Held flat — genuinely unpredictable, and holding it flat needs no offsetting cash-flow line.</t>
        </is>
      </c>
    </row>
    <row r="16">
      <c r="B16" s="28" t="inlineStr">
        <is>
          <t>Other assets</t>
        </is>
      </c>
      <c r="C16" s="23" t="n"/>
      <c r="D16" s="26" t="n">
        <v>1610</v>
      </c>
      <c r="E16" s="35" t="n">
        <v>1610</v>
      </c>
      <c r="F16" s="35" t="n">
        <v>1610</v>
      </c>
      <c r="G16" s="35" t="n">
        <v>1610</v>
      </c>
      <c r="H16" s="35" t="n">
        <v>1610</v>
      </c>
      <c r="I16" s="35" t="n">
        <v>1610</v>
      </c>
      <c r="K16" s="6" t="inlineStr">
        <is>
          <t>Held flat.</t>
        </is>
      </c>
    </row>
    <row r="17">
      <c r="B17" s="20" t="inlineStr">
        <is>
          <t>Total assets</t>
        </is>
      </c>
      <c r="C17" s="23" t="n"/>
      <c r="D17" s="30">
        <f>D10+D11+D12+D13+D14+D15+D16</f>
        <v/>
      </c>
      <c r="E17" s="30">
        <f>E10+E11+E12+E13+E14+E15+E16</f>
        <v/>
      </c>
      <c r="F17" s="30">
        <f>F10+F11+F12+F13+F14+F15+F16</f>
        <v/>
      </c>
      <c r="G17" s="30">
        <f>G10+G11+G12+G13+G14+G15+G16</f>
        <v/>
      </c>
      <c r="H17" s="30">
        <f>H10+H11+H12+H13+H14+H15+H16</f>
        <v/>
      </c>
      <c r="I17" s="30">
        <f>I10+I11+I12+I13+I14+I15+I16</f>
        <v/>
      </c>
      <c r="K17" s="6" t="inlineStr">
        <is>
          <t>FY2025A ties to the reported $29,496mm.</t>
        </is>
      </c>
    </row>
    <row r="18">
      <c r="B18" s="23" t="n"/>
      <c r="C18" s="23" t="n"/>
      <c r="D18" s="23" t="n"/>
      <c r="E18" s="23" t="n"/>
      <c r="F18" s="23" t="n"/>
      <c r="G18" s="23" t="n"/>
      <c r="H18" s="23" t="n"/>
      <c r="I18" s="23" t="n"/>
    </row>
    <row r="19">
      <c r="B19" s="28" t="inlineStr">
        <is>
          <t>Trade payables</t>
        </is>
      </c>
      <c r="C19" s="23" t="n"/>
      <c r="D19" s="26" t="n">
        <v>417</v>
      </c>
      <c r="E19" s="30">
        <f>'Income Statement'!E6*'Cash Flow &amp; Working Capital'!E7</f>
        <v/>
      </c>
      <c r="F19" s="30">
        <f>'Income Statement'!F6*'Cash Flow &amp; Working Capital'!F7</f>
        <v/>
      </c>
      <c r="G19" s="30">
        <f>'Income Statement'!G6*'Cash Flow &amp; Working Capital'!G7</f>
        <v/>
      </c>
      <c r="H19" s="30">
        <f>'Income Statement'!H6*'Cash Flow &amp; Working Capital'!H7</f>
        <v/>
      </c>
      <c r="I19" s="30">
        <f>'Income Statement'!I6*'Cash Flow &amp; Working Capital'!I7</f>
        <v/>
      </c>
      <c r="K19" s="6" t="inlineStr">
        <is>
          <t>Projected as % of revenue.</t>
        </is>
      </c>
    </row>
    <row r="20">
      <c r="B20" s="28" t="inlineStr">
        <is>
          <t>Accrued expenses &amp; other current liabilities</t>
        </is>
      </c>
      <c r="C20" s="23" t="n"/>
      <c r="D20" s="26" t="n">
        <v>2648</v>
      </c>
      <c r="E20" s="30">
        <f>'Income Statement'!E6*'Cash Flow &amp; Working Capital'!E8</f>
        <v/>
      </c>
      <c r="F20" s="30">
        <f>'Income Statement'!F6*'Cash Flow &amp; Working Capital'!F8</f>
        <v/>
      </c>
      <c r="G20" s="30">
        <f>'Income Statement'!G6*'Cash Flow &amp; Working Capital'!G8</f>
        <v/>
      </c>
      <c r="H20" s="30">
        <f>'Income Statement'!H6*'Cash Flow &amp; Working Capital'!H8</f>
        <v/>
      </c>
      <c r="I20" s="30">
        <f>'Income Statement'!I6*'Cash Flow &amp; Working Capital'!I8</f>
        <v/>
      </c>
      <c r="K20" s="6" t="inlineStr">
        <is>
          <t>Projected as % of revenue.</t>
        </is>
      </c>
    </row>
    <row r="21">
      <c r="B21" s="28" t="inlineStr">
        <is>
          <t>Debt, current</t>
        </is>
      </c>
      <c r="C21" s="23" t="n"/>
      <c r="D21" s="26" t="n">
        <v>0</v>
      </c>
      <c r="E21" s="35" t="n">
        <v>1843</v>
      </c>
      <c r="F21" s="35" t="n">
        <v>0</v>
      </c>
      <c r="G21" s="35" t="n">
        <v>0</v>
      </c>
      <c r="H21" s="35" t="n">
        <v>0</v>
      </c>
      <c r="I21" s="35" t="n">
        <v>0</v>
      </c>
      <c r="K21" s="6" t="inlineStr">
        <is>
          <t>FY26E = the $1,843mm current portion reported at 29 May 2026, repaid in FY27E. Any change here flows to the financing line on the Cash Flow tab automatically.</t>
        </is>
      </c>
    </row>
    <row r="22">
      <c r="B22" s="28" t="inlineStr">
        <is>
          <t>Deferred revenue, current</t>
        </is>
      </c>
      <c r="C22" s="23" t="n"/>
      <c r="D22" s="26" t="n">
        <v>6905</v>
      </c>
      <c r="E22" s="30">
        <f>'Income Statement'!E6*'Cash Flow &amp; Working Capital'!E9</f>
        <v/>
      </c>
      <c r="F22" s="30">
        <f>'Income Statement'!F6*'Cash Flow &amp; Working Capital'!F9</f>
        <v/>
      </c>
      <c r="G22" s="30">
        <f>'Income Statement'!G6*'Cash Flow &amp; Working Capital'!G9</f>
        <v/>
      </c>
      <c r="H22" s="30">
        <f>'Income Statement'!H6*'Cash Flow &amp; Working Capital'!H9</f>
        <v/>
      </c>
      <c r="I22" s="30">
        <f>'Income Statement'!I6*'Cash Flow &amp; Working Capital'!I9</f>
        <v/>
      </c>
      <c r="K22" s="6" t="inlineStr">
        <is>
          <t>Projected as % of revenue — the largest single working-capital source of cash in the model.</t>
        </is>
      </c>
    </row>
    <row r="23">
      <c r="B23" s="28" t="inlineStr">
        <is>
          <t>Income taxes payable, current</t>
        </is>
      </c>
      <c r="C23" s="23" t="n"/>
      <c r="D23" s="26" t="n">
        <v>153</v>
      </c>
      <c r="E23" s="35" t="n">
        <v>153</v>
      </c>
      <c r="F23" s="35" t="n">
        <v>153</v>
      </c>
      <c r="G23" s="35" t="n">
        <v>153</v>
      </c>
      <c r="H23" s="35" t="n">
        <v>153</v>
      </c>
      <c r="I23" s="35" t="n">
        <v>153</v>
      </c>
      <c r="K23" s="6" t="inlineStr">
        <is>
          <t>Held flat.</t>
        </is>
      </c>
    </row>
    <row r="24">
      <c r="B24" s="28" t="inlineStr">
        <is>
          <t>Operating lease liabilities, current</t>
        </is>
      </c>
      <c r="C24" s="23" t="n"/>
      <c r="D24" s="26" t="n">
        <v>77</v>
      </c>
      <c r="E24" s="35" t="n">
        <v>77</v>
      </c>
      <c r="F24" s="35" t="n">
        <v>77</v>
      </c>
      <c r="G24" s="35" t="n">
        <v>77</v>
      </c>
      <c r="H24" s="35" t="n">
        <v>77</v>
      </c>
      <c r="I24" s="35" t="n">
        <v>77</v>
      </c>
      <c r="K24" s="6" t="inlineStr">
        <is>
          <t>Held flat.</t>
        </is>
      </c>
    </row>
    <row r="25">
      <c r="B25" s="20" t="inlineStr">
        <is>
          <t>Total current liabilities</t>
        </is>
      </c>
      <c r="C25" s="23" t="n"/>
      <c r="D25" s="30">
        <f>D19+D20+D21+D22+D23+D24</f>
        <v/>
      </c>
      <c r="E25" s="30">
        <f>E19+E20+E21+E22+E23+E24</f>
        <v/>
      </c>
      <c r="F25" s="30">
        <f>F19+F20+F21+F22+F23+F24</f>
        <v/>
      </c>
      <c r="G25" s="30">
        <f>G19+G20+G21+G22+G23+G24</f>
        <v/>
      </c>
      <c r="H25" s="30">
        <f>H19+H20+H21+H22+H23+H24</f>
        <v/>
      </c>
      <c r="I25" s="30">
        <f>I19+I20+I21+I22+I23+I24</f>
        <v/>
      </c>
    </row>
    <row r="26">
      <c r="B26" s="28" t="inlineStr">
        <is>
          <t>Debt, long-term</t>
        </is>
      </c>
      <c r="C26" s="23" t="n"/>
      <c r="D26" s="26" t="n">
        <v>6210</v>
      </c>
      <c r="E26" s="35" t="n">
        <v>4802</v>
      </c>
      <c r="F26" s="35" t="n">
        <v>4802</v>
      </c>
      <c r="G26" s="35" t="n">
        <v>4802</v>
      </c>
      <c r="H26" s="35" t="n">
        <v>4802</v>
      </c>
      <c r="I26" s="35" t="n">
        <v>4802</v>
      </c>
      <c r="K26" s="6" t="inlineStr">
        <is>
          <t>FY25 $6,210mm reported. FY26E-onward $4,802mm is the long-term portion reported at 29 May 2026 after Adobe reclassified $1,843mm to current and drew $493mm to help fund Semrush.</t>
        </is>
      </c>
    </row>
    <row r="27">
      <c r="B27" s="28" t="inlineStr">
        <is>
          <t>Deferred revenue, long-term</t>
        </is>
      </c>
      <c r="C27" s="23" t="n"/>
      <c r="D27" s="26" t="n">
        <v>125</v>
      </c>
      <c r="E27" s="30">
        <f>'Income Statement'!E6*'Cash Flow &amp; Working Capital'!E10</f>
        <v/>
      </c>
      <c r="F27" s="30">
        <f>'Income Statement'!F6*'Cash Flow &amp; Working Capital'!F10</f>
        <v/>
      </c>
      <c r="G27" s="30">
        <f>'Income Statement'!G6*'Cash Flow &amp; Working Capital'!G10</f>
        <v/>
      </c>
      <c r="H27" s="30">
        <f>'Income Statement'!H6*'Cash Flow &amp; Working Capital'!H10</f>
        <v/>
      </c>
      <c r="I27" s="30">
        <f>'Income Statement'!I6*'Cash Flow &amp; Working Capital'!I10</f>
        <v/>
      </c>
      <c r="K27" s="6" t="inlineStr">
        <is>
          <t>Projected as % of revenue.</t>
        </is>
      </c>
    </row>
    <row r="28">
      <c r="B28" s="28" t="inlineStr">
        <is>
          <t>Income taxes payable, long-term</t>
        </is>
      </c>
      <c r="C28" s="23" t="n"/>
      <c r="D28" s="26" t="n">
        <v>469</v>
      </c>
      <c r="E28" s="35" t="n">
        <v>469</v>
      </c>
      <c r="F28" s="35" t="n">
        <v>469</v>
      </c>
      <c r="G28" s="35" t="n">
        <v>469</v>
      </c>
      <c r="H28" s="35" t="n">
        <v>469</v>
      </c>
      <c r="I28" s="35" t="n">
        <v>469</v>
      </c>
      <c r="K28" s="6" t="inlineStr">
        <is>
          <t>Held flat.</t>
        </is>
      </c>
    </row>
    <row r="29">
      <c r="B29" s="28" t="inlineStr">
        <is>
          <t>Operating lease liabilities, long-term</t>
        </is>
      </c>
      <c r="C29" s="23" t="n"/>
      <c r="D29" s="26" t="n">
        <v>361</v>
      </c>
      <c r="E29" s="35" t="n">
        <v>361</v>
      </c>
      <c r="F29" s="35" t="n">
        <v>361</v>
      </c>
      <c r="G29" s="35" t="n">
        <v>361</v>
      </c>
      <c r="H29" s="35" t="n">
        <v>361</v>
      </c>
      <c r="I29" s="35" t="n">
        <v>361</v>
      </c>
      <c r="K29" s="6" t="inlineStr">
        <is>
          <t>Held flat.</t>
        </is>
      </c>
    </row>
    <row r="30">
      <c r="B30" s="28" t="inlineStr">
        <is>
          <t>Other long-term liabilities</t>
        </is>
      </c>
      <c r="C30" s="23" t="n"/>
      <c r="D30" s="26" t="n">
        <v>508</v>
      </c>
      <c r="E30" s="30">
        <f>D30+'Cash Flow &amp; Working Capital'!E30</f>
        <v/>
      </c>
      <c r="F30" s="30">
        <f>E30+'Cash Flow &amp; Working Capital'!F30</f>
        <v/>
      </c>
      <c r="G30" s="30">
        <f>F30+'Cash Flow &amp; Working Capital'!G30</f>
        <v/>
      </c>
      <c r="H30" s="30">
        <f>G30+'Cash Flow &amp; Working Capital'!H30</f>
        <v/>
      </c>
      <c r="I30" s="30">
        <f>H30+'Cash Flow &amp; Working Capital'!I30</f>
        <v/>
      </c>
      <c r="K30" s="6" t="inlineStr">
        <is>
          <t>Rolls forward with net liabilities assumed on acquisitions (Cash Flow tab), otherwise flat.</t>
        </is>
      </c>
    </row>
    <row r="31">
      <c r="B31" s="20" t="inlineStr">
        <is>
          <t>Total liabilities</t>
        </is>
      </c>
      <c r="C31" s="23" t="n"/>
      <c r="D31" s="30">
        <f>D25+D26+D27+D28+D29+D30</f>
        <v/>
      </c>
      <c r="E31" s="30">
        <f>E25+E26+E27+E28+E29+E30</f>
        <v/>
      </c>
      <c r="F31" s="30">
        <f>F25+F26+F27+F28+F29+F30</f>
        <v/>
      </c>
      <c r="G31" s="30">
        <f>G25+G26+G27+G28+G29+G30</f>
        <v/>
      </c>
      <c r="H31" s="30">
        <f>H25+H26+H27+H28+H29+H30</f>
        <v/>
      </c>
      <c r="I31" s="30">
        <f>I25+I26+I27+I28+I29+I30</f>
        <v/>
      </c>
      <c r="K31" s="6" t="inlineStr">
        <is>
          <t>FY2025A ties to the reported $17,873mm.</t>
        </is>
      </c>
    </row>
    <row r="32">
      <c r="B32" s="28" t="inlineStr">
        <is>
          <t>Stockholders' equity, beginning of period</t>
        </is>
      </c>
      <c r="C32" s="23" t="n"/>
      <c r="D32" s="23" t="n"/>
      <c r="E32" s="30">
        <f>D33</f>
        <v/>
      </c>
      <c r="F32" s="30">
        <f>E33</f>
        <v/>
      </c>
      <c r="G32" s="30">
        <f>F33</f>
        <v/>
      </c>
      <c r="H32" s="30">
        <f>G33</f>
        <v/>
      </c>
      <c r="I32" s="30">
        <f>H33</f>
        <v/>
      </c>
    </row>
    <row r="33">
      <c r="B33" s="20" t="inlineStr">
        <is>
          <t>Stockholders' equity, end of period</t>
        </is>
      </c>
      <c r="C33" s="23" t="n"/>
      <c r="D33" s="26" t="n">
        <v>11623</v>
      </c>
      <c r="E33" s="30">
        <f>E32+'Income Statement'!E30+'Cash Flow &amp; Working Capital'!E20+'Cash Flow &amp; Working Capital'!E26</f>
        <v/>
      </c>
      <c r="F33" s="30">
        <f>F32+'Income Statement'!F30+'Cash Flow &amp; Working Capital'!F20+'Cash Flow &amp; Working Capital'!F26</f>
        <v/>
      </c>
      <c r="G33" s="30">
        <f>G32+'Income Statement'!G30+'Cash Flow &amp; Working Capital'!G20+'Cash Flow &amp; Working Capital'!G26</f>
        <v/>
      </c>
      <c r="H33" s="30">
        <f>H32+'Income Statement'!H30+'Cash Flow &amp; Working Capital'!H20+'Cash Flow &amp; Working Capital'!H26</f>
        <v/>
      </c>
      <c r="I33" s="30">
        <f>I32+'Income Statement'!I30+'Cash Flow &amp; Working Capital'!I20+'Cash Flow &amp; Working Capital'!I26</f>
        <v/>
      </c>
      <c r="K33" s="6" t="inlineStr">
        <is>
          <t>FY2025A ties to the reported $11,623mm. Forecast = opening equity + net income + SBC - buybacks. The SBC add-back on the EQUITY side (not just in cash) is what keeps the balance sheet tying: SBC credits additional paid-in capital in real accounting.</t>
        </is>
      </c>
    </row>
    <row r="34">
      <c r="B34" s="20" t="inlineStr">
        <is>
          <t>Total liabilities &amp; equity</t>
        </is>
      </c>
      <c r="C34" s="23" t="n"/>
      <c r="D34" s="30">
        <f>D31+D33</f>
        <v/>
      </c>
      <c r="E34" s="30">
        <f>E31+E33</f>
        <v/>
      </c>
      <c r="F34" s="30">
        <f>F31+F33</f>
        <v/>
      </c>
      <c r="G34" s="30">
        <f>G31+G33</f>
        <v/>
      </c>
      <c r="H34" s="30">
        <f>H31+H33</f>
        <v/>
      </c>
      <c r="I34" s="30">
        <f>I31+I33</f>
        <v/>
      </c>
    </row>
    <row r="35">
      <c r="B35" s="20" t="inlineStr">
        <is>
          <t>Balance check (assets less liabilities &amp; equity)</t>
        </is>
      </c>
      <c r="C35" s="23" t="n"/>
      <c r="D35" s="37">
        <f>D17-D34</f>
        <v/>
      </c>
      <c r="E35" s="37">
        <f>E17-E34</f>
        <v/>
      </c>
      <c r="F35" s="37">
        <f>F17-F34</f>
        <v/>
      </c>
      <c r="G35" s="37">
        <f>G17-G34</f>
        <v/>
      </c>
      <c r="H35" s="37">
        <f>H17-H34</f>
        <v/>
      </c>
      <c r="I35" s="37">
        <f>I17-I34</f>
        <v/>
      </c>
      <c r="K35" s="6" t="inlineStr">
        <is>
          <t>Must read exactly 0 in every populated column.</t>
        </is>
      </c>
    </row>
    <row r="36">
      <c r="B36" s="23" t="n"/>
      <c r="C36" s="23" t="n"/>
      <c r="D36" s="23" t="n"/>
      <c r="E36" s="23" t="n"/>
      <c r="F36" s="23" t="n"/>
      <c r="G36" s="23" t="n"/>
      <c r="H36" s="23" t="n"/>
      <c r="I36" s="23" t="n"/>
    </row>
    <row r="37">
      <c r="B37" s="28" t="inlineStr">
        <is>
          <t>MEMO: total debt (current + long-term)</t>
        </is>
      </c>
      <c r="C37" s="23" t="n"/>
      <c r="D37" s="30">
        <f>D21+D26</f>
        <v/>
      </c>
      <c r="E37" s="30">
        <f>E21+E26</f>
        <v/>
      </c>
      <c r="F37" s="30">
        <f>F21+F26</f>
        <v/>
      </c>
      <c r="G37" s="30">
        <f>G21+G26</f>
        <v/>
      </c>
      <c r="H37" s="30">
        <f>H21+H26</f>
        <v/>
      </c>
      <c r="I37" s="30">
        <f>I21+I26</f>
        <v/>
      </c>
    </row>
    <row r="38">
      <c r="B38" s="28" t="inlineStr">
        <is>
          <t>MEMO: net cash / (net debt)</t>
        </is>
      </c>
      <c r="C38" s="23" t="n"/>
      <c r="D38" s="30">
        <f>D6+D7-D37</f>
        <v/>
      </c>
      <c r="E38" s="30">
        <f>E6+E7-E37</f>
        <v/>
      </c>
      <c r="F38" s="30">
        <f>F6+F7-F37</f>
        <v/>
      </c>
      <c r="G38" s="30">
        <f>G6+G7-G37</f>
        <v/>
      </c>
      <c r="H38" s="30">
        <f>H6+H7-H37</f>
        <v/>
      </c>
      <c r="I38" s="30">
        <f>I6+I7-I37</f>
        <v/>
      </c>
      <c r="K38" s="6" t="inlineStr">
        <is>
          <t>Adobe moved from ~$0.4bn net cash at FY25 to ~$1.0bn NET DEBT after paying $1.87bn cash for Semrush.</t>
        </is>
      </c>
    </row>
  </sheetData>
  <mergeCells count="2">
    <mergeCell ref="B3:I3"/>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K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2" customWidth="1" min="3" max="3"/>
    <col width="12" customWidth="1" min="4" max="4"/>
    <col width="12" customWidth="1" min="5" max="5"/>
    <col width="12" customWidth="1" min="6" max="6"/>
    <col width="12" customWidth="1" min="7" max="7"/>
    <col width="12" customWidth="1" min="8" max="8"/>
    <col width="12" customWidth="1" min="9" max="9"/>
    <col width="3" customWidth="1" min="10" max="10"/>
    <col width="62" customWidth="1" min="11" max="11"/>
  </cols>
  <sheetData>
    <row r="2" ht="20" customHeight="1">
      <c r="A2" s="7" t="inlineStr">
        <is>
          <t>WORKING CAPITAL, CAPEX &amp; DEPRECIATION SCHEDULES</t>
        </is>
      </c>
    </row>
    <row r="4" ht="16" customHeight="1">
      <c r="B4" s="23" t="n"/>
      <c r="C4" s="21" t="inlineStr">
        <is>
          <t>FY2024A</t>
        </is>
      </c>
      <c r="D4" s="21" t="inlineStr">
        <is>
          <t>FY2025A</t>
        </is>
      </c>
      <c r="E4" s="22" t="inlineStr">
        <is>
          <t>FY2026E</t>
        </is>
      </c>
      <c r="F4" s="22" t="inlineStr">
        <is>
          <t>FY2027E</t>
        </is>
      </c>
      <c r="G4" s="22" t="inlineStr">
        <is>
          <t>FY2028E</t>
        </is>
      </c>
      <c r="H4" s="22" t="inlineStr">
        <is>
          <t>FY2029E</t>
        </is>
      </c>
      <c r="I4" s="22" t="inlineStr">
        <is>
          <t>FY2030E</t>
        </is>
      </c>
    </row>
    <row r="5">
      <c r="B5" s="28" t="inlineStr">
        <is>
          <t>Days sales outstanding (AR / revenue x 365)</t>
        </is>
      </c>
      <c r="C5" s="23" t="n"/>
      <c r="D5" s="50">
        <f>2344/'Income Statement'!D6*365</f>
        <v/>
      </c>
      <c r="E5" s="51" t="n">
        <v>35.5</v>
      </c>
      <c r="F5" s="51" t="n">
        <v>35</v>
      </c>
      <c r="G5" s="51" t="n">
        <v>35</v>
      </c>
      <c r="H5" s="51" t="n">
        <v>35</v>
      </c>
      <c r="I5" s="51" t="n">
        <v>35</v>
      </c>
      <c r="K5" s="6" t="inlineStr">
        <is>
          <t>FY25 actual 36.0 days. Adobe collects fast because most of the base is card-billed subscriptions.</t>
        </is>
      </c>
    </row>
    <row r="6">
      <c r="B6" s="28" t="inlineStr">
        <is>
          <t>Prepaid &amp; other current assets, % of revenue</t>
        </is>
      </c>
      <c r="C6" s="23" t="n"/>
      <c r="D6" s="29">
        <f>1224/'Income Statement'!D6</f>
        <v/>
      </c>
      <c r="E6" s="36" t="n">
        <v>0.052</v>
      </c>
      <c r="F6" s="36" t="n">
        <v>0.052</v>
      </c>
      <c r="G6" s="36" t="n">
        <v>0.052</v>
      </c>
      <c r="H6" s="36" t="n">
        <v>0.052</v>
      </c>
      <c r="I6" s="36" t="n">
        <v>0.052</v>
      </c>
    </row>
    <row r="7">
      <c r="B7" s="28" t="inlineStr">
        <is>
          <t>Trade payables, % of revenue</t>
        </is>
      </c>
      <c r="C7" s="23" t="n"/>
      <c r="D7" s="29">
        <f>417/'Income Statement'!D6</f>
        <v/>
      </c>
      <c r="E7" s="36" t="n">
        <v>0.018</v>
      </c>
      <c r="F7" s="36" t="n">
        <v>0.018</v>
      </c>
      <c r="G7" s="36" t="n">
        <v>0.018</v>
      </c>
      <c r="H7" s="36" t="n">
        <v>0.018</v>
      </c>
      <c r="I7" s="36" t="n">
        <v>0.018</v>
      </c>
    </row>
    <row r="8">
      <c r="B8" s="28" t="inlineStr">
        <is>
          <t>Accrued expenses, % of revenue</t>
        </is>
      </c>
      <c r="C8" s="23" t="n"/>
      <c r="D8" s="29">
        <f>2648/'Income Statement'!D6</f>
        <v/>
      </c>
      <c r="E8" s="36" t="n">
        <v>0.111</v>
      </c>
      <c r="F8" s="36" t="n">
        <v>0.111</v>
      </c>
      <c r="G8" s="36" t="n">
        <v>0.111</v>
      </c>
      <c r="H8" s="36" t="n">
        <v>0.111</v>
      </c>
      <c r="I8" s="36" t="n">
        <v>0.111</v>
      </c>
    </row>
    <row r="9">
      <c r="B9" s="28" t="inlineStr">
        <is>
          <t>Deferred revenue (current), % of revenue</t>
        </is>
      </c>
      <c r="C9" s="23" t="n"/>
      <c r="D9" s="29">
        <f>6905/'Income Statement'!D6</f>
        <v/>
      </c>
      <c r="E9" s="36" t="n">
        <v>0.29</v>
      </c>
      <c r="F9" s="36" t="n">
        <v>0.287</v>
      </c>
      <c r="G9" s="36" t="n">
        <v>0.284</v>
      </c>
      <c r="H9" s="36" t="n">
        <v>0.282</v>
      </c>
      <c r="I9" s="36" t="n">
        <v>0.28</v>
      </c>
      <c r="K9" s="6" t="inlineStr">
        <is>
          <t>FY25 actual 29.05%. The gentle fade is a real thesis: generative-credit and consumption pricing is recognised on USE rather than billed a year in advance, so a mix shift toward AI monetisation structurally shrinks deferred revenue as a share of sales — and with it a cash-flow tailwind Adobe has enjoyed for a decade.</t>
        </is>
      </c>
    </row>
    <row r="10">
      <c r="B10" s="28" t="inlineStr">
        <is>
          <t>Deferred revenue (long-term), % of revenue</t>
        </is>
      </c>
      <c r="C10" s="23" t="n"/>
      <c r="D10" s="29">
        <f>125/'Income Statement'!D6</f>
        <v/>
      </c>
      <c r="E10" s="36" t="n">
        <v>0.005</v>
      </c>
      <c r="F10" s="36" t="n">
        <v>0.005</v>
      </c>
      <c r="G10" s="36" t="n">
        <v>0.005</v>
      </c>
      <c r="H10" s="36" t="n">
        <v>0.005</v>
      </c>
      <c r="I10" s="36" t="n">
        <v>0.005</v>
      </c>
    </row>
    <row r="11">
      <c r="B11" s="28" t="inlineStr">
        <is>
          <t>Capex % of revenue</t>
        </is>
      </c>
      <c r="C11" s="23" t="n"/>
      <c r="D11" s="29">
        <f>179/'Income Statement'!D6</f>
        <v/>
      </c>
      <c r="E11" s="36" t="n">
        <v>0.008</v>
      </c>
      <c r="F11" s="36" t="n">
        <v>0.008</v>
      </c>
      <c r="G11" s="36" t="n">
        <v>0.008</v>
      </c>
      <c r="H11" s="36" t="n">
        <v>0.008</v>
      </c>
      <c r="I11" s="36" t="n">
        <v>0.008</v>
      </c>
      <c r="K11" s="6" t="inlineStr">
        <is>
          <t>FY25 actual 0.75%. Adobe is strikingly asset-light: it rents AI compute rather than building it, so inference cost lands in COGS (gross margin) instead of capex. A decision to bring model training in-house would break this assumption — watch for it.</t>
        </is>
      </c>
    </row>
    <row r="12">
      <c r="B12" s="28" t="inlineStr">
        <is>
          <t>Capital expenditures</t>
        </is>
      </c>
      <c r="C12" s="23" t="n"/>
      <c r="D12" s="30">
        <f>'Income Statement'!D6*D11</f>
        <v/>
      </c>
      <c r="E12" s="30">
        <f>'Income Statement'!E6*E11</f>
        <v/>
      </c>
      <c r="F12" s="30">
        <f>'Income Statement'!F6*F11</f>
        <v/>
      </c>
      <c r="G12" s="30">
        <f>'Income Statement'!G6*G11</f>
        <v/>
      </c>
      <c r="H12" s="30">
        <f>'Income Statement'!H6*H11</f>
        <v/>
      </c>
      <c r="I12" s="30">
        <f>'Income Statement'!I6*I11</f>
        <v/>
      </c>
    </row>
    <row r="13">
      <c r="B13" s="28" t="inlineStr">
        <is>
          <t>Depreciation (excl. intangible amortisation)</t>
        </is>
      </c>
      <c r="C13" s="23" t="n"/>
      <c r="D13" s="26" t="n">
        <v>508</v>
      </c>
      <c r="E13" s="35" t="n">
        <v>480</v>
      </c>
      <c r="F13" s="35" t="n">
        <v>430</v>
      </c>
      <c r="G13" s="35" t="n">
        <v>380</v>
      </c>
      <c r="H13" s="35" t="n">
        <v>340</v>
      </c>
      <c r="I13" s="35" t="n">
        <v>310</v>
      </c>
      <c r="K13" s="6" t="inlineStr">
        <is>
          <t>FY25: reported total D&amp;A of $818mm less $310mm of intangible amortisation. Adobe has been shrinking its PP&amp;E base — depreciation runs at roughly 3x capex as it sheds real estate — so the forecast fades depreciation toward the capex run-rate. Extrapolating $520mm/yr against $200mm of capex drives net PP&amp;E to zero by FY2030, which is not a forecast but an arithmetic accident.</t>
        </is>
      </c>
    </row>
    <row r="14">
      <c r="B14" s="20" t="inlineStr">
        <is>
          <t>Total D&amp;A (depreciation + intangible amortisation)</t>
        </is>
      </c>
      <c r="C14" s="23" t="n"/>
      <c r="D14" s="30">
        <f>D13+'Income Statement'!D17</f>
        <v/>
      </c>
      <c r="E14" s="30">
        <f>E13+'Income Statement'!E17</f>
        <v/>
      </c>
      <c r="F14" s="30">
        <f>F13+'Income Statement'!F17</f>
        <v/>
      </c>
      <c r="G14" s="30">
        <f>G13+'Income Statement'!G17</f>
        <v/>
      </c>
      <c r="H14" s="30">
        <f>H13+'Income Statement'!H17</f>
        <v/>
      </c>
      <c r="I14" s="30">
        <f>I13+'Income Statement'!I17</f>
        <v/>
      </c>
    </row>
    <row r="15">
      <c r="B15" s="23" t="n"/>
      <c r="C15" s="23" t="n"/>
      <c r="D15" s="23" t="n"/>
      <c r="E15" s="23" t="n"/>
      <c r="F15" s="23" t="n"/>
      <c r="G15" s="23" t="n"/>
      <c r="H15" s="23" t="n"/>
      <c r="I15" s="23" t="n"/>
    </row>
    <row r="16" ht="20" customHeight="1">
      <c r="A16" s="7" t="inlineStr">
        <is>
          <t>CASH FLOW STATEMENT — links the Income Statement to the Balance Sheet</t>
        </is>
      </c>
      <c r="B16" s="23" t="n"/>
      <c r="C16" s="23" t="n"/>
      <c r="D16" s="23" t="n"/>
      <c r="E16" s="23" t="n"/>
      <c r="F16" s="23" t="n"/>
      <c r="G16" s="23" t="n"/>
      <c r="H16" s="23" t="n"/>
      <c r="I16" s="23" t="n"/>
    </row>
    <row r="17" ht="16" customHeight="1">
      <c r="B17" s="23" t="n"/>
      <c r="C17" s="21" t="inlineStr">
        <is>
          <t>FY2024A</t>
        </is>
      </c>
      <c r="D17" s="21" t="inlineStr">
        <is>
          <t>FY2025A</t>
        </is>
      </c>
      <c r="E17" s="22" t="inlineStr">
        <is>
          <t>FY2026E</t>
        </is>
      </c>
      <c r="F17" s="22" t="inlineStr">
        <is>
          <t>FY2027E</t>
        </is>
      </c>
      <c r="G17" s="22" t="inlineStr">
        <is>
          <t>FY2028E</t>
        </is>
      </c>
      <c r="H17" s="22" t="inlineStr">
        <is>
          <t>FY2029E</t>
        </is>
      </c>
      <c r="I17" s="22" t="inlineStr">
        <is>
          <t>FY2030E</t>
        </is>
      </c>
    </row>
    <row r="18">
      <c r="B18" s="28" t="inlineStr">
        <is>
          <t>Net income</t>
        </is>
      </c>
      <c r="C18" s="23" t="n"/>
      <c r="D18" s="30">
        <f>'Income Statement'!D30</f>
        <v/>
      </c>
      <c r="E18" s="30">
        <f>'Income Statement'!E30</f>
        <v/>
      </c>
      <c r="F18" s="30">
        <f>'Income Statement'!F30</f>
        <v/>
      </c>
      <c r="G18" s="30">
        <f>'Income Statement'!G30</f>
        <v/>
      </c>
      <c r="H18" s="30">
        <f>'Income Statement'!H30</f>
        <v/>
      </c>
      <c r="I18" s="30">
        <f>'Income Statement'!I30</f>
        <v/>
      </c>
    </row>
    <row r="19">
      <c r="B19" s="28" t="inlineStr">
        <is>
          <t>+ Depreciation &amp; amortisation</t>
        </is>
      </c>
      <c r="C19" s="23" t="n"/>
      <c r="D19" s="30">
        <f>D14</f>
        <v/>
      </c>
      <c r="E19" s="30">
        <f>E14</f>
        <v/>
      </c>
      <c r="F19" s="30">
        <f>F14</f>
        <v/>
      </c>
      <c r="G19" s="30">
        <f>G14</f>
        <v/>
      </c>
      <c r="H19" s="30">
        <f>H14</f>
        <v/>
      </c>
      <c r="I19" s="30">
        <f>I14</f>
        <v/>
      </c>
    </row>
    <row r="20">
      <c r="B20" s="28" t="inlineStr">
        <is>
          <t>+ Stock-based compensation</t>
        </is>
      </c>
      <c r="C20" s="23" t="n"/>
      <c r="D20" s="26" t="n">
        <v>1942</v>
      </c>
      <c r="E20" s="35" t="n">
        <v>2120</v>
      </c>
      <c r="F20" s="35" t="n">
        <v>2270</v>
      </c>
      <c r="G20" s="35" t="n">
        <v>2400</v>
      </c>
      <c r="H20" s="35" t="n">
        <v>2520</v>
      </c>
      <c r="I20" s="35" t="n">
        <v>2630</v>
      </c>
      <c r="K20" s="6" t="inlineStr">
        <is>
          <t>FY25 actual $1,942mm (8.2% of revenue). H1 FY26 was already $1,043mm. Forecast grows with headcount and revenue but as a slowly declining share of sales.</t>
        </is>
      </c>
    </row>
    <row r="21">
      <c r="B21" s="28" t="inlineStr">
        <is>
          <t>+ Goodwill impairment (non-cash)</t>
        </is>
      </c>
      <c r="C21" s="23" t="n"/>
      <c r="D21" s="30">
        <f>'Income Statement'!D18</f>
        <v/>
      </c>
      <c r="E21" s="30">
        <f>'Income Statement'!E18</f>
        <v/>
      </c>
      <c r="F21" s="30">
        <f>'Income Statement'!F18</f>
        <v/>
      </c>
      <c r="G21" s="30">
        <f>'Income Statement'!G18</f>
        <v/>
      </c>
      <c r="H21" s="30">
        <f>'Income Statement'!H18</f>
        <v/>
      </c>
      <c r="I21" s="30">
        <f>'Income Statement'!I18</f>
        <v/>
      </c>
      <c r="K21" s="6" t="inlineStr">
        <is>
          <t>FY24's $1,000mm Figma termination fee was a CASH cost, so this add-back is only correct from FY25 onward — FY2024 is not built out as a cash-flow year and the column is deliberately blank.</t>
        </is>
      </c>
    </row>
    <row r="22">
      <c r="B22" s="28" t="inlineStr">
        <is>
          <t>+/- Change in net working capital</t>
        </is>
      </c>
      <c r="C22" s="23" t="n"/>
      <c r="D22" s="26" t="n">
        <v>141</v>
      </c>
      <c r="E22" s="30">
        <f>-(('Balance Sheet'!E8-'Balance Sheet'!D8)+('Balance Sheet'!E9-'Balance Sheet'!D9)-('Balance Sheet'!E19-'Balance Sheet'!D19)-('Balance Sheet'!E20-'Balance Sheet'!D20)-('Balance Sheet'!E22-'Balance Sheet'!D22)-('Balance Sheet'!E27-'Balance Sheet'!D27))</f>
        <v/>
      </c>
      <c r="F22" s="30">
        <f>-(('Balance Sheet'!F8-'Balance Sheet'!E8)+('Balance Sheet'!F9-'Balance Sheet'!E9)-('Balance Sheet'!F19-'Balance Sheet'!E19)-('Balance Sheet'!F20-'Balance Sheet'!E20)-('Balance Sheet'!F22-'Balance Sheet'!E22)-('Balance Sheet'!F27-'Balance Sheet'!E27))</f>
        <v/>
      </c>
      <c r="G22" s="30">
        <f>-(('Balance Sheet'!G8-'Balance Sheet'!F8)+('Balance Sheet'!G9-'Balance Sheet'!F9)-('Balance Sheet'!G19-'Balance Sheet'!F19)-('Balance Sheet'!G20-'Balance Sheet'!F20)-('Balance Sheet'!G22-'Balance Sheet'!F22)-('Balance Sheet'!G27-'Balance Sheet'!F27))</f>
        <v/>
      </c>
      <c r="H22" s="30">
        <f>-(('Balance Sheet'!H8-'Balance Sheet'!G8)+('Balance Sheet'!H9-'Balance Sheet'!G9)-('Balance Sheet'!H19-'Balance Sheet'!G19)-('Balance Sheet'!H20-'Balance Sheet'!G20)-('Balance Sheet'!H22-'Balance Sheet'!G22)-('Balance Sheet'!H27-'Balance Sheet'!G27))</f>
        <v/>
      </c>
      <c r="I22" s="30">
        <f>-(('Balance Sheet'!I8-'Balance Sheet'!H8)+('Balance Sheet'!I9-'Balance Sheet'!H9)-('Balance Sheet'!I19-'Balance Sheet'!H19)-('Balance Sheet'!I20-'Balance Sheet'!H20)-('Balance Sheet'!I22-'Balance Sheet'!H22)-('Balance Sheet'!I27-'Balance Sheet'!H27))</f>
        <v/>
      </c>
      <c r="K22" s="6" t="inlineStr">
        <is>
          <t>FY2025A is an ANCHOR column, not a full reconciliation: $141mm is the residual that makes modelled CFO tie to the reported $10,031mm, and it bundles the real working-capital swing with other non-cash items (deferred taxes, FX) this model does not itemise. Net change in cash and net debt issuance are left BLANK for FY2025A because the FY2024 balance sheet is not built out. FY2026E onward is fully formula-driven.</t>
        </is>
      </c>
    </row>
    <row r="23">
      <c r="B23" s="20" t="inlineStr">
        <is>
          <t>Cash from operations</t>
        </is>
      </c>
      <c r="C23" s="23" t="n"/>
      <c r="D23" s="30">
        <f>D18+D19+D20+D21+D22</f>
        <v/>
      </c>
      <c r="E23" s="30">
        <f>E18+E19+E20+E21+E22</f>
        <v/>
      </c>
      <c r="F23" s="30">
        <f>F18+F19+F20+F21+F22</f>
        <v/>
      </c>
      <c r="G23" s="30">
        <f>G18+G19+G20+G21+G22</f>
        <v/>
      </c>
      <c r="H23" s="30">
        <f>H18+H19+H20+H21+H22</f>
        <v/>
      </c>
      <c r="I23" s="30">
        <f>I18+I19+I20+I21+I22</f>
        <v/>
      </c>
      <c r="K23" s="6" t="inlineStr">
        <is>
          <t>FY2025A output should land near the reported $10,031mm.</t>
        </is>
      </c>
    </row>
    <row r="24">
      <c r="B24" s="28" t="inlineStr">
        <is>
          <t>- Capital expenditures</t>
        </is>
      </c>
      <c r="C24" s="23" t="n"/>
      <c r="D24" s="30">
        <f>-D12</f>
        <v/>
      </c>
      <c r="E24" s="30">
        <f>-E12</f>
        <v/>
      </c>
      <c r="F24" s="30">
        <f>-F12</f>
        <v/>
      </c>
      <c r="G24" s="30">
        <f>-G12</f>
        <v/>
      </c>
      <c r="H24" s="30">
        <f>-H12</f>
        <v/>
      </c>
      <c r="I24" s="30">
        <f>-I12</f>
        <v/>
      </c>
    </row>
    <row r="25">
      <c r="B25" s="20" t="inlineStr">
        <is>
          <t>Free cash flow (levered, after SBC add-back)</t>
        </is>
      </c>
      <c r="C25" s="23" t="n"/>
      <c r="D25" s="30">
        <f>D23+D24</f>
        <v/>
      </c>
      <c r="E25" s="30">
        <f>E23+E24</f>
        <v/>
      </c>
      <c r="F25" s="30">
        <f>F23+F24</f>
        <v/>
      </c>
      <c r="G25" s="30">
        <f>G23+G24</f>
        <v/>
      </c>
      <c r="H25" s="30">
        <f>H23+H24</f>
        <v/>
      </c>
      <c r="I25" s="30">
        <f>I23+I24</f>
        <v/>
      </c>
      <c r="K25" s="6" t="inlineStr">
        <is>
          <t>NOT the same as unlevered FCF on the DCF tab, and the gap is intentional: this line adds SBC back as non-cash and is stated after interest and tax as paid. The DCF starts from EBIT and does NOT add SBC back, because SBC is a real cost of compensating employees and adding it back while also diluting the share count would count the same benefit twice.</t>
        </is>
      </c>
    </row>
    <row r="26">
      <c r="B26" s="28" t="inlineStr">
        <is>
          <t>- Share repurchases</t>
        </is>
      </c>
      <c r="C26" s="23" t="n"/>
      <c r="D26" s="26" t="n">
        <v>-11281</v>
      </c>
      <c r="E26" s="35" t="n">
        <v>-9000</v>
      </c>
      <c r="F26" s="35" t="n">
        <v>-10500</v>
      </c>
      <c r="G26" s="35" t="n">
        <v>-11500</v>
      </c>
      <c r="H26" s="35" t="n">
        <v>-12500</v>
      </c>
      <c r="I26" s="35" t="n">
        <v>-13500</v>
      </c>
      <c r="K26" s="6" t="inlineStr">
        <is>
          <t>FY25 actual $11,281mm (30.8mm shares) — more than 100% of that year's free cash flow. H1 FY26 was $4,589mm, annualising near $9bn. The forecast ramps with free cash flow because that is what Adobe actually does; holding it flat at $8bn piles up an implausible ~$25bn of idle cash by FY2030. $27bn remained under authorisation at Q2 FY26 (including $25bn authorised in April 2026), so the FY28E-FY30E pace ASSUMES further authorisations. Adobe has reauthorised repeatedly, but that is an assumption, not a commitment.</t>
        </is>
      </c>
    </row>
    <row r="27">
      <c r="B27" s="28" t="inlineStr">
        <is>
          <t>- Acquisitions, net of cash acquired</t>
        </is>
      </c>
      <c r="C27" s="23" t="n"/>
      <c r="D27" s="26" t="n">
        <v>-17</v>
      </c>
      <c r="E27" s="35" t="n">
        <v>-1560</v>
      </c>
      <c r="F27" s="35" t="n">
        <v>0</v>
      </c>
      <c r="G27" s="35" t="n">
        <v>0</v>
      </c>
      <c r="H27" s="35" t="n">
        <v>0</v>
      </c>
      <c r="I27" s="35" t="n">
        <v>0</v>
      </c>
      <c r="K27" s="6" t="inlineStr">
        <is>
          <t>FY26E = the $1,560mm net cash outflow for Semrush reported in Q2 FY26 (headline price $1.87bn, $12.00/share). No further M&amp;A assumed.</t>
        </is>
      </c>
    </row>
    <row r="28">
      <c r="B28" s="28" t="inlineStr">
        <is>
          <t xml:space="preserve">    of which: goodwill recognised</t>
        </is>
      </c>
      <c r="C28" s="23" t="n"/>
      <c r="D28" s="26" t="n">
        <v>0</v>
      </c>
      <c r="E28" s="35" t="n">
        <v>1254</v>
      </c>
      <c r="F28" s="35" t="n">
        <v>0</v>
      </c>
      <c r="G28" s="35" t="n">
        <v>0</v>
      </c>
      <c r="H28" s="35" t="n">
        <v>0</v>
      </c>
      <c r="I28" s="35" t="n">
        <v>0</v>
      </c>
    </row>
    <row r="29">
      <c r="B29" s="28" t="inlineStr">
        <is>
          <t xml:space="preserve">    of which: intangibles recognised</t>
        </is>
      </c>
      <c r="C29" s="23" t="n"/>
      <c r="D29" s="26" t="n">
        <v>0</v>
      </c>
      <c r="E29" s="35" t="n">
        <v>517</v>
      </c>
      <c r="F29" s="35" t="n">
        <v>0</v>
      </c>
      <c r="G29" s="35" t="n">
        <v>0</v>
      </c>
      <c r="H29" s="35" t="n">
        <v>0</v>
      </c>
      <c r="I29" s="35" t="n">
        <v>0</v>
      </c>
    </row>
    <row r="30">
      <c r="B30" s="28" t="inlineStr">
        <is>
          <t xml:space="preserve">    of which: net liabilities assumed (balancing)</t>
        </is>
      </c>
      <c r="C30" s="23" t="n"/>
      <c r="D30" s="30">
        <f>D28+D29+D27</f>
        <v/>
      </c>
      <c r="E30" s="30">
        <f>E28+E29+E27</f>
        <v/>
      </c>
      <c r="F30" s="30">
        <f>F28+F29+F27</f>
        <v/>
      </c>
      <c r="G30" s="30">
        <f>G28+G29+G27</f>
        <v/>
      </c>
      <c r="H30" s="30">
        <f>H28+H29+H27</f>
        <v/>
      </c>
      <c r="I30" s="30">
        <f>I28+I29+I27</f>
        <v/>
      </c>
      <c r="K30" s="6" t="inlineStr">
        <is>
          <t>Formula, not an input: goodwill + intangibles less cash paid. Keeps the acquisition self-balancing if you change the purchase-price allocation above.</t>
        </is>
      </c>
    </row>
    <row r="31">
      <c r="B31" s="28" t="inlineStr">
        <is>
          <t>+/- Net debt issuance / (repayment)</t>
        </is>
      </c>
      <c r="C31" s="23" t="n"/>
      <c r="D31" s="23" t="n"/>
      <c r="E31" s="30">
        <f>'Balance Sheet'!E37-'Balance Sheet'!D37</f>
        <v/>
      </c>
      <c r="F31" s="30">
        <f>'Balance Sheet'!F37-'Balance Sheet'!E37</f>
        <v/>
      </c>
      <c r="G31" s="30">
        <f>'Balance Sheet'!G37-'Balance Sheet'!F37</f>
        <v/>
      </c>
      <c r="H31" s="30">
        <f>'Balance Sheet'!H37-'Balance Sheet'!G37</f>
        <v/>
      </c>
      <c r="I31" s="30">
        <f>'Balance Sheet'!I37-'Balance Sheet'!H37</f>
        <v/>
      </c>
      <c r="K31" s="6" t="inlineStr">
        <is>
          <t>Formula: period-over-period change in total debt on the Balance Sheet, so the FY27E repayment of the $1,843mm current portion appears as a financing outflow instead of silently breaking the balance sheet.</t>
        </is>
      </c>
    </row>
    <row r="32">
      <c r="B32" s="20" t="inlineStr">
        <is>
          <t>Net change in cash</t>
        </is>
      </c>
      <c r="C32" s="23" t="n"/>
      <c r="D32" s="23" t="n"/>
      <c r="E32" s="30">
        <f>E25+E26+E27+E31</f>
        <v/>
      </c>
      <c r="F32" s="30">
        <f>F25+F26+F27+F31</f>
        <v/>
      </c>
      <c r="G32" s="30">
        <f>G25+G26+G27+G31</f>
        <v/>
      </c>
      <c r="H32" s="30">
        <f>H25+H26+H27+H31</f>
        <v/>
      </c>
      <c r="I32" s="30">
        <f>I25+I26+I27+I31</f>
        <v/>
      </c>
      <c r="K32" s="6" t="inlineStr">
        <is>
          <t>Left blank for FY2025A: without a FY2024 balance sheet there is no debt-issuance or investment-transfer figure to reconcile against, and a partial number would read like a complete one.</t>
        </is>
      </c>
    </row>
  </sheetData>
  <mergeCells count="2">
    <mergeCell ref="A2:I2"/>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I5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 customWidth="1" min="1" max="1"/>
    <col width="42" customWidth="1" min="2" max="2"/>
    <col width="13" customWidth="1" min="3" max="3"/>
    <col width="13" customWidth="1" min="4" max="4"/>
    <col width="13" customWidth="1" min="5" max="5"/>
    <col width="13" customWidth="1" min="6" max="6"/>
    <col width="13" customWidth="1" min="7" max="7"/>
    <col width="3" customWidth="1" min="8" max="8"/>
    <col width="62" customWidth="1" min="9" max="9"/>
  </cols>
  <sheetData>
    <row r="2" ht="20" customHeight="1">
      <c r="A2" s="7" t="inlineStr">
        <is>
          <t>WACC BUILD</t>
        </is>
      </c>
    </row>
    <row r="3">
      <c r="B3" s="8" t="inlineStr">
        <is>
          <t>Risk-free rate (10-yr US Treasury)</t>
        </is>
      </c>
      <c r="D3" s="36" t="n">
        <v>0.0467</v>
      </c>
      <c r="I3" s="6" t="inlineStr">
        <is>
          <t>FRED series DGS10, observation 27 Aug 2026 (4.67%).</t>
        </is>
      </c>
    </row>
    <row r="4">
      <c r="B4" s="8" t="inlineStr">
        <is>
          <t>Equity risk premium</t>
        </is>
      </c>
      <c r="D4" s="36" t="n">
        <v>0.045</v>
      </c>
      <c r="I4" s="6" t="inlineStr">
        <is>
          <t>MODEL ASSUMPTION. 4.5% is a conventional forward-looking US ERP. This figure was NOT independently verified against Damodaran's current published update in building this model — treat it as the single least-sourced input on this tab and check it before relying on the WACC.</t>
        </is>
      </c>
    </row>
    <row r="5">
      <c r="B5" s="8" t="inlineStr">
        <is>
          <t>Beta (5-year)</t>
        </is>
      </c>
      <c r="D5" s="49" t="n">
        <v>1.4</v>
      </c>
      <c r="I5" s="6" t="inlineStr">
        <is>
          <t>stockanalysis.com, 28 Aug 2026. Beta methodologies differ materially between providers; a 1.20 beta would cut WACC by ~0.85pt and lift the DCF value roughly 15%.</t>
        </is>
      </c>
    </row>
    <row r="6">
      <c r="B6" s="4" t="inlineStr">
        <is>
          <t>Cost of equity (CAPM = Rf + Beta x ERP)</t>
        </is>
      </c>
      <c r="D6" s="52">
        <f>D3+D5*D4</f>
        <v/>
      </c>
    </row>
    <row r="8">
      <c r="B8" s="8" t="inlineStr">
        <is>
          <t>Pre-tax cost of debt</t>
        </is>
      </c>
      <c r="D8" s="36" t="n">
        <v>0.042</v>
      </c>
      <c r="I8" s="6" t="inlineStr">
        <is>
          <t>Blended rate on Adobe's actual debt stack — consistent with the assumption on the Income Statement tab and derived from reported interest expense over average debt.</t>
        </is>
      </c>
    </row>
    <row r="9">
      <c r="B9" s="8" t="inlineStr">
        <is>
          <t>Marginal tax rate (for the debt tax shield)</t>
        </is>
      </c>
      <c r="D9" s="36" t="n">
        <v>0.21</v>
      </c>
      <c r="I9" s="6" t="inlineStr">
        <is>
          <t>US federal statutory rate.</t>
        </is>
      </c>
    </row>
    <row r="10">
      <c r="B10" s="4" t="inlineStr">
        <is>
          <t>After-tax cost of debt</t>
        </is>
      </c>
      <c r="D10" s="52">
        <f>D8*(1-D9)</f>
        <v/>
      </c>
    </row>
    <row r="12">
      <c r="B12" s="8" t="inlineStr">
        <is>
          <t>Market value of equity ($mm)</t>
        </is>
      </c>
      <c r="D12" s="30">
        <f>Cover_MktCap</f>
        <v/>
      </c>
    </row>
    <row r="13">
      <c r="B13" s="8" t="inlineStr">
        <is>
          <t>Market value of debt ($mm)</t>
        </is>
      </c>
      <c r="D13" s="30">
        <f>Cover_Debt</f>
        <v/>
      </c>
    </row>
    <row r="14">
      <c r="B14" s="8" t="inlineStr">
        <is>
          <t>Weight of equity</t>
        </is>
      </c>
      <c r="D14" s="29">
        <f>D12/(D12+D13)</f>
        <v/>
      </c>
    </row>
    <row r="15">
      <c r="B15" s="8" t="inlineStr">
        <is>
          <t>Weight of debt</t>
        </is>
      </c>
      <c r="D15" s="29">
        <f>D13/(D12+D13)</f>
        <v/>
      </c>
    </row>
    <row r="16">
      <c r="B16" s="4" t="inlineStr">
        <is>
          <t>WACC</t>
        </is>
      </c>
      <c r="D16" s="52">
        <f>D14*D6+D15*D10</f>
        <v/>
      </c>
    </row>
    <row r="17" ht="32" customHeight="1">
      <c r="B17" s="6" t="inlineStr">
        <is>
          <t>Adobe carries $6.6bn of debt against a ~$116bn market cap, so debt is ~5% of capital and the tax shield barely moves the number: WACC here is effectively the cost of equity, and the output is therefore almost entirely a function of the beta and ERP assumptions above.</t>
        </is>
      </c>
    </row>
    <row r="19" ht="20" customHeight="1">
      <c r="A19" s="7" t="inlineStr">
        <is>
          <t>UNLEVERED FREE CASH FLOW (FY2026E-FY2030E)</t>
        </is>
      </c>
    </row>
    <row r="20">
      <c r="C20" s="21" t="inlineStr">
        <is>
          <t>FY2026E</t>
        </is>
      </c>
      <c r="D20" s="21" t="inlineStr">
        <is>
          <t>FY2027E</t>
        </is>
      </c>
      <c r="E20" s="21" t="inlineStr">
        <is>
          <t>FY2028E</t>
        </is>
      </c>
      <c r="F20" s="21" t="inlineStr">
        <is>
          <t>FY2029E</t>
        </is>
      </c>
      <c r="G20" s="21" t="inlineStr">
        <is>
          <t>FY2030E</t>
        </is>
      </c>
    </row>
    <row r="21">
      <c r="B21" s="8" t="inlineStr">
        <is>
          <t>EBIT</t>
        </is>
      </c>
      <c r="C21" s="30">
        <f>'Income Statement'!E19</f>
        <v/>
      </c>
      <c r="D21" s="30">
        <f>'Income Statement'!F19</f>
        <v/>
      </c>
      <c r="E21" s="30">
        <f>'Income Statement'!G19</f>
        <v/>
      </c>
      <c r="F21" s="30">
        <f>'Income Statement'!H19</f>
        <v/>
      </c>
      <c r="G21" s="30">
        <f>'Income Statement'!I19</f>
        <v/>
      </c>
    </row>
    <row r="22">
      <c r="B22" s="8" t="inlineStr">
        <is>
          <t>NOPAT (EBIT x (1 - effective tax rate))</t>
        </is>
      </c>
      <c r="C22" s="30">
        <f>C21*(1-'Income Statement'!E28)</f>
        <v/>
      </c>
      <c r="D22" s="30">
        <f>D21*(1-'Income Statement'!F28)</f>
        <v/>
      </c>
      <c r="E22" s="30">
        <f>E21*(1-'Income Statement'!G28)</f>
        <v/>
      </c>
      <c r="F22" s="30">
        <f>F21*(1-'Income Statement'!H28)</f>
        <v/>
      </c>
      <c r="G22" s="30">
        <f>G21*(1-'Income Statement'!I28)</f>
        <v/>
      </c>
    </row>
    <row r="23">
      <c r="B23" s="8" t="inlineStr">
        <is>
          <t>+ D&amp;A</t>
        </is>
      </c>
      <c r="C23" s="30">
        <f>'Cash Flow &amp; Working Capital'!E14</f>
        <v/>
      </c>
      <c r="D23" s="30">
        <f>'Cash Flow &amp; Working Capital'!F14</f>
        <v/>
      </c>
      <c r="E23" s="30">
        <f>'Cash Flow &amp; Working Capital'!G14</f>
        <v/>
      </c>
      <c r="F23" s="30">
        <f>'Cash Flow &amp; Working Capital'!H14</f>
        <v/>
      </c>
      <c r="G23" s="30">
        <f>'Cash Flow &amp; Working Capital'!I14</f>
        <v/>
      </c>
    </row>
    <row r="24">
      <c r="B24" s="8" t="inlineStr">
        <is>
          <t>- Capex</t>
        </is>
      </c>
      <c r="C24" s="30">
        <f>-'Cash Flow &amp; Working Capital'!E12</f>
        <v/>
      </c>
      <c r="D24" s="30">
        <f>-'Cash Flow &amp; Working Capital'!F12</f>
        <v/>
      </c>
      <c r="E24" s="30">
        <f>-'Cash Flow &amp; Working Capital'!G12</f>
        <v/>
      </c>
      <c r="F24" s="30">
        <f>-'Cash Flow &amp; Working Capital'!H12</f>
        <v/>
      </c>
      <c r="G24" s="30">
        <f>-'Cash Flow &amp; Working Capital'!I12</f>
        <v/>
      </c>
    </row>
    <row r="25">
      <c r="B25" s="8" t="inlineStr">
        <is>
          <t>+/- Change in net working capital</t>
        </is>
      </c>
      <c r="C25" s="30">
        <f>'Cash Flow &amp; Working Capital'!E22</f>
        <v/>
      </c>
      <c r="D25" s="30">
        <f>'Cash Flow &amp; Working Capital'!F22</f>
        <v/>
      </c>
      <c r="E25" s="30">
        <f>'Cash Flow &amp; Working Capital'!G22</f>
        <v/>
      </c>
      <c r="F25" s="30">
        <f>'Cash Flow &amp; Working Capital'!H22</f>
        <v/>
      </c>
      <c r="G25" s="30">
        <f>'Cash Flow &amp; Working Capital'!I22</f>
        <v/>
      </c>
      <c r="I25" s="6" t="inlineStr">
        <is>
          <t>Positive for Adobe: deferred revenue grows faster than receivables, so working capital is a SOURCE of cash. This is a real and underappreciated part of the FCF story — and it fades in the model as consumption pricing dilutes deferred revenue.</t>
        </is>
      </c>
    </row>
    <row r="26">
      <c r="B26" s="4" t="inlineStr">
        <is>
          <t>Unlevered free cash flow</t>
        </is>
      </c>
      <c r="C26" s="46">
        <f>C22+C23+C24+C25</f>
        <v/>
      </c>
      <c r="D26" s="46">
        <f>D22+D23+D24+D25</f>
        <v/>
      </c>
      <c r="E26" s="46">
        <f>E22+E23+E24+E25</f>
        <v/>
      </c>
      <c r="F26" s="46">
        <f>F22+F23+F24+F25</f>
        <v/>
      </c>
      <c r="G26" s="46">
        <f>G22+G23+G24+G25</f>
        <v/>
      </c>
    </row>
    <row r="27">
      <c r="B27" s="8" t="inlineStr">
        <is>
          <t>Discount period (years, mid-year convention)</t>
        </is>
      </c>
      <c r="C27" s="53" t="n">
        <v>0.5</v>
      </c>
      <c r="D27" s="53" t="n">
        <v>1.5</v>
      </c>
      <c r="E27" s="53" t="n">
        <v>2.5</v>
      </c>
      <c r="F27" s="53" t="n">
        <v>3.5</v>
      </c>
      <c r="G27" s="53" t="n">
        <v>4.5</v>
      </c>
      <c r="I27" s="6" t="inlineStr">
        <is>
          <t>Mid-year convention. Note this is CONSERVATIVE for FY2026E, which is already three-quarters elapsed as of the 29 Aug 2026 model date — a strict as-of-today discounting would use ~0.1 years and produce a slightly higher value.</t>
        </is>
      </c>
    </row>
    <row r="28">
      <c r="B28" s="8" t="inlineStr">
        <is>
          <t>Discount factor</t>
        </is>
      </c>
      <c r="C28" s="54">
        <f>1/(1+D16)^C27</f>
        <v/>
      </c>
      <c r="D28" s="54">
        <f>1/(1+D16)^D27</f>
        <v/>
      </c>
      <c r="E28" s="54">
        <f>1/(1+D16)^E27</f>
        <v/>
      </c>
      <c r="F28" s="54">
        <f>1/(1+D16)^F27</f>
        <v/>
      </c>
      <c r="G28" s="54">
        <f>1/(1+D16)^G27</f>
        <v/>
      </c>
    </row>
    <row r="29">
      <c r="B29" s="8" t="inlineStr">
        <is>
          <t>PV of unlevered FCF</t>
        </is>
      </c>
      <c r="C29" s="30">
        <f>C26*C28</f>
        <v/>
      </c>
      <c r="D29" s="30">
        <f>D26*D28</f>
        <v/>
      </c>
      <c r="E29" s="30">
        <f>E26*E28</f>
        <v/>
      </c>
      <c r="F29" s="30">
        <f>F26*F28</f>
        <v/>
      </c>
      <c r="G29" s="30">
        <f>G26*G28</f>
        <v/>
      </c>
    </row>
    <row r="31" ht="20" customHeight="1">
      <c r="A31" s="7" t="inlineStr">
        <is>
          <t>TERMINAL VALUE, ENTERPRISE VALUE &amp; IMPLIED PRICE</t>
        </is>
      </c>
    </row>
    <row r="32">
      <c r="B32" s="8" t="inlineStr">
        <is>
          <t>Terminal growth rate</t>
        </is>
      </c>
      <c r="D32" s="36" t="n">
        <v>0.03</v>
      </c>
      <c r="I32" s="6" t="inlineStr">
        <is>
          <t>Roughly long-run nominal GDP. Compare against the REVERSE-DCF block below, which backs out what today's share price is actually implying.</t>
        </is>
      </c>
    </row>
    <row r="33">
      <c r="B33" s="8" t="inlineStr">
        <is>
          <t>Terminal-year unlevered FCF (FY2030E x (1+g))</t>
        </is>
      </c>
      <c r="D33" s="30">
        <f>G26*(1+D32)</f>
        <v/>
      </c>
    </row>
    <row r="34">
      <c r="B34" s="8" t="inlineStr">
        <is>
          <t>Terminal value (Gordon growth)</t>
        </is>
      </c>
      <c r="D34" s="30">
        <f>IF(D32&gt;=D16,"n/m",D33/(D16-D32))</f>
        <v/>
      </c>
    </row>
    <row r="35">
      <c r="B35" s="4" t="inlineStr">
        <is>
          <t>PV of terminal value</t>
        </is>
      </c>
      <c r="D35" s="30">
        <f>IFERROR(D34*G28,"n/m")</f>
        <v/>
      </c>
    </row>
    <row r="36">
      <c r="B36" s="8" t="inlineStr">
        <is>
          <t>Sum of PV of explicit-period FCF</t>
        </is>
      </c>
      <c r="D36" s="30">
        <f>SUM(C29:G29)</f>
        <v/>
      </c>
    </row>
    <row r="37">
      <c r="B37" s="4" t="inlineStr">
        <is>
          <t>Enterprise value ($mm)</t>
        </is>
      </c>
      <c r="D37" s="55">
        <f>D36+D35</f>
        <v/>
      </c>
    </row>
    <row r="38">
      <c r="B38" s="8" t="inlineStr">
        <is>
          <t xml:space="preserve">  Terminal value as % of enterprise value</t>
        </is>
      </c>
      <c r="D38" s="56">
        <f>IFERROR(D35/D37,"n/m")</f>
        <v/>
      </c>
      <c r="I38" s="6" t="inlineStr">
        <is>
          <t>Read this. Above ~85% the DCF is an exit-multiple opinion wearing a DCF's clothing.</t>
        </is>
      </c>
    </row>
    <row r="39">
      <c r="B39" s="8" t="inlineStr">
        <is>
          <t xml:space="preserve">  DCF-implied terminal EV/EBITDA multiple</t>
        </is>
      </c>
      <c r="D39" s="57">
        <f>IFERROR(D34/(G21+G23),"n/m")</f>
        <v/>
      </c>
      <c r="I39" s="6" t="inlineStr">
        <is>
          <t>Terminal value divided by FY2030E EBITDA. The Scenarios tab CALIBRATES its Base-case exit multiple to this number rather than picking one independently — otherwise the two valuation methods diverge for no reason other than an unexamined assumption.</t>
        </is>
      </c>
    </row>
    <row r="40">
      <c r="B40" s="8" t="inlineStr">
        <is>
          <t>Plus: net cash / (net debt) ($mm)</t>
        </is>
      </c>
      <c r="D40" s="30">
        <f>Cover_Cash-Cover_Debt</f>
        <v/>
      </c>
    </row>
    <row r="41">
      <c r="B41" s="4" t="inlineStr">
        <is>
          <t>Implied equity value ($mm)</t>
        </is>
      </c>
      <c r="D41" s="30">
        <f>D37+D40</f>
        <v/>
      </c>
    </row>
    <row r="42">
      <c r="B42" s="8" t="inlineStr">
        <is>
          <t>Shares outstanding (mm)</t>
        </is>
      </c>
      <c r="D42" s="41">
        <f>Cover_Shares</f>
        <v/>
      </c>
    </row>
    <row r="43">
      <c r="B43" s="4" t="inlineStr">
        <is>
          <t>Implied share price (DCF)</t>
        </is>
      </c>
      <c r="D43" s="58">
        <f>IFERROR(D41/D42,"n/m")</f>
        <v/>
      </c>
    </row>
    <row r="44">
      <c r="B44" s="4" t="inlineStr">
        <is>
          <t>Upside / (downside) vs. current price</t>
        </is>
      </c>
      <c r="D44" s="56">
        <f>IFERROR(D43/Cover_Price-1,"n/m")</f>
        <v/>
      </c>
    </row>
    <row r="46" ht="20" customHeight="1">
      <c r="A46" s="7" t="inlineStr">
        <is>
          <t>REVERSE DCF — WHAT IS THE CURRENT PRICE ACTUALLY ASSUMING?</t>
        </is>
      </c>
    </row>
    <row r="47" ht="34" customHeight="1">
      <c r="B47" s="6" t="inlineStr">
        <is>
          <t>This is the most useful block on the tab. Rather than argue about whether $291.52 is cheap, it holds the WACC and the FY2026E-FY2030E cash-flow path fixed and solves in closed form for the perpetual growth rate that makes the DCF equal the market price. Algebra: TV = F(1+g)/(w-g), so g = (TV x w - F) / (TV + F).</t>
        </is>
      </c>
    </row>
    <row r="48">
      <c r="B48" s="8" t="inlineStr">
        <is>
          <t>Enterprise value implied by the market ($mm)</t>
        </is>
      </c>
      <c r="D48" s="30">
        <f>Cover_MktCap+Cover_Debt-Cover_Cash</f>
        <v/>
      </c>
    </row>
    <row r="49">
      <c r="B49" s="8" t="inlineStr">
        <is>
          <t>Terminal value the market must be assuming ($mm)</t>
        </is>
      </c>
      <c r="D49" s="30">
        <f>(D48-D36)/G28</f>
        <v/>
      </c>
      <c r="I49" s="6" t="inlineStr">
        <is>
          <t>Market EV less this model's PV of explicit-period FCF, grossed back up to a FY2030 value.</t>
        </is>
      </c>
    </row>
    <row r="50">
      <c r="B50" s="4" t="inlineStr">
        <is>
          <t>IMPLIED perpetual growth rate in the current share price</t>
        </is>
      </c>
      <c r="D50" s="59">
        <f>IFERROR((D49*D16-G26)/(D49+G26),"n/m")</f>
        <v/>
      </c>
      <c r="I50" s="6" t="inlineStr">
        <is>
          <t>Compare with the ~3.0% terminal growth used above and with ~2.4% long-run US inflation. A materially LOWER implied rate means the market is pricing Adobe to shrink in real terms forever — which is a coherent view of AI disruption, but it is a view, and it is now explicit.</t>
        </is>
      </c>
    </row>
    <row r="51">
      <c r="B51" s="8" t="inlineStr">
        <is>
          <t xml:space="preserve">  Implied terminal EV/EBITDA in the current price</t>
        </is>
      </c>
      <c r="D51" s="57">
        <f>IFERROR(D49/(G21+G23),"n/m")</f>
        <v/>
      </c>
    </row>
  </sheetData>
  <mergeCells count="6">
    <mergeCell ref="B47:G47"/>
    <mergeCell ref="A31:G31"/>
    <mergeCell ref="B17:G17"/>
    <mergeCell ref="A2:G2"/>
    <mergeCell ref="A19:G19"/>
    <mergeCell ref="A46:G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G44"/>
  <sheetViews>
    <sheetView showGridLines="0" workbookViewId="0">
      <selection activeCell="A1" sqref="A1"/>
    </sheetView>
  </sheetViews>
  <sheetFormatPr baseColWidth="8" defaultRowHeight="15"/>
  <cols>
    <col width="2" customWidth="1" min="1" max="1"/>
    <col width="46" customWidth="1" min="2" max="2"/>
    <col width="15" customWidth="1" min="3" max="3"/>
    <col width="15" customWidth="1" min="4" max="4"/>
    <col width="15" customWidth="1" min="5" max="5"/>
    <col width="3" customWidth="1" min="6" max="6"/>
    <col width="66" customWidth="1" min="7" max="7"/>
  </cols>
  <sheetData>
    <row r="2" ht="20" customHeight="1">
      <c r="A2" s="7" t="inlineStr">
        <is>
          <t>BEAR / BASE / BULL — DRIVEN BY THE ARR TRAJECTORY</t>
        </is>
      </c>
    </row>
    <row r="3" ht="46" customHeight="1">
      <c r="B3" s="6" t="inlineStr">
        <is>
          <t>Each scenario is anchored on FY2026E, which is effectively locked by company guidance and three quarters of actuals, and then differs only in the four-year FY2026E-FY2030E path. All three divide by TODAY'S share count: a buyback does not create value in a DCF, it redistributes it, and dividing a Bull enterprise value by a smaller Bull share count would double-count the same cash flow.</t>
        </is>
      </c>
    </row>
    <row r="5">
      <c r="C5" s="21" t="inlineStr">
        <is>
          <t>Bear</t>
        </is>
      </c>
      <c r="D5" s="21" t="inlineStr">
        <is>
          <t>Base</t>
        </is>
      </c>
      <c r="E5" s="21" t="inlineStr">
        <is>
          <t>Bull</t>
        </is>
      </c>
    </row>
    <row r="6" ht="46" customHeight="1">
      <c r="B6" s="4" t="inlineStr">
        <is>
          <t>Scenario in one line</t>
        </is>
      </c>
      <c r="C6" s="60" t="inlineStr">
        <is>
          <t>Freemium fails to convert; AI substitution bites</t>
        </is>
      </c>
      <c r="D6" s="60" t="inlineStr">
        <is>
          <t>Freemium defers ARR, does not destroy it</t>
        </is>
      </c>
      <c r="E6" s="60" t="inlineStr">
        <is>
          <t>Freemium builds a second engine; AI is accretive</t>
        </is>
      </c>
    </row>
    <row r="7">
      <c r="B7" s="8" t="inlineStr">
        <is>
          <t>FY2026E-FY2030E revenue CAGR (4 years)</t>
        </is>
      </c>
      <c r="C7" s="36" t="n">
        <v>0.035</v>
      </c>
      <c r="D7" s="29">
        <f>('Income Statement'!I6/'Income Statement'!E6)^(1/4)-1</f>
        <v/>
      </c>
      <c r="E7" s="36" t="n">
        <v>0.105</v>
      </c>
      <c r="G7" s="6" t="inlineStr">
        <is>
          <t>Base is a LIVE formula off the 3-statement model, so it cannot drift from it. Bear 3.5% assumes the H2 FY26 ARR air-pocket is structural and seat counts decline as AI substitutes for junior creative labour. Bull 11.5% assumes freemium conversion plus AI-first ARR compounding past $5bn by FY2030 — moderated from a first pass, because stacking four simultaneously optimistic assumptions is how a bull case stops being informative.</t>
        </is>
      </c>
    </row>
    <row r="8">
      <c r="B8" s="8" t="inlineStr">
        <is>
          <t>FY2026E revenue ($mm) — same in all scenarios</t>
        </is>
      </c>
      <c r="C8" s="30">
        <f>'Income Statement'!E6</f>
        <v/>
      </c>
      <c r="D8" s="30">
        <f>'Income Statement'!E6</f>
        <v/>
      </c>
      <c r="E8" s="30">
        <f>'Income Statement'!E6</f>
        <v/>
      </c>
    </row>
    <row r="9">
      <c r="B9" s="4" t="inlineStr">
        <is>
          <t>FY2030E revenue ($mm)</t>
        </is>
      </c>
      <c r="C9" s="55">
        <f>C8*(1+C7)^4</f>
        <v/>
      </c>
      <c r="D9" s="55">
        <f>D8*(1+D7)^4</f>
        <v/>
      </c>
      <c r="E9" s="55">
        <f>E8*(1+E7)^4</f>
        <v/>
      </c>
    </row>
    <row r="10">
      <c r="B10" s="8" t="inlineStr">
        <is>
          <t>FY2030E GAAP operating margin</t>
        </is>
      </c>
      <c r="C10" s="36" t="n">
        <v>0.29</v>
      </c>
      <c r="D10" s="29">
        <f>'Income Statement'!I20</f>
        <v/>
      </c>
      <c r="E10" s="36" t="n">
        <v>0.395</v>
      </c>
      <c r="G10" s="6" t="inlineStr">
        <is>
          <t>Base is a LIVE link to the 3-statement model's FY2030E margin. Bear assumes generative-AI inference cost plus a permanently elevated customer-acquisition spend; Bull assumes the freemium funnel becomes organic and inference cost per generation keeps falling.</t>
        </is>
      </c>
    </row>
    <row r="11">
      <c r="B11" s="4" t="inlineStr">
        <is>
          <t>FY2030E EBIT ($mm)</t>
        </is>
      </c>
      <c r="C11" s="55">
        <f>C9*C10</f>
        <v/>
      </c>
      <c r="D11" s="55">
        <f>D9*D10</f>
        <v/>
      </c>
      <c r="E11" s="55">
        <f>E9*E10</f>
        <v/>
      </c>
    </row>
    <row r="12">
      <c r="B12" s="8" t="inlineStr">
        <is>
          <t>FY2030E D&amp;A ($mm)</t>
        </is>
      </c>
      <c r="C12" s="30">
        <f>'Cash Flow &amp; Working Capital'!I14</f>
        <v/>
      </c>
      <c r="D12" s="30">
        <f>'Cash Flow &amp; Working Capital'!I14</f>
        <v/>
      </c>
      <c r="E12" s="30">
        <f>'Cash Flow &amp; Working Capital'!I14</f>
        <v/>
      </c>
    </row>
    <row r="13">
      <c r="B13" s="4" t="inlineStr">
        <is>
          <t>FY2030E EBITDA ($mm)</t>
        </is>
      </c>
      <c r="C13" s="55">
        <f>C11+C12</f>
        <v/>
      </c>
      <c r="D13" s="55">
        <f>D11+D12</f>
        <v/>
      </c>
      <c r="E13" s="55">
        <f>E11+E12</f>
        <v/>
      </c>
    </row>
    <row r="14">
      <c r="B14" s="8" t="inlineStr">
        <is>
          <t>Tax rate</t>
        </is>
      </c>
      <c r="C14" s="36" t="n">
        <v>0.21</v>
      </c>
      <c r="D14" s="36" t="n">
        <v>0.21</v>
      </c>
      <c r="E14" s="36" t="n">
        <v>0.21</v>
      </c>
    </row>
    <row r="15">
      <c r="B15" s="8" t="inlineStr">
        <is>
          <t>Capex % of revenue</t>
        </is>
      </c>
      <c r="C15" s="36" t="n">
        <v>0.012</v>
      </c>
      <c r="D15" s="36" t="n">
        <v>0.008</v>
      </c>
      <c r="E15" s="36" t="n">
        <v>0.008</v>
      </c>
      <c r="G15" s="6" t="inlineStr">
        <is>
          <t>Bear assumes Adobe is forced to bring more AI compute in-house to defend gross margin.</t>
        </is>
      </c>
    </row>
    <row r="16">
      <c r="B16" s="8" t="inlineStr">
        <is>
          <t>Working-capital benefit, % of FY30 revenue growth</t>
        </is>
      </c>
      <c r="C16" s="36" t="n">
        <v>0.15</v>
      </c>
      <c r="D16" s="36" t="n">
        <v>0.28</v>
      </c>
      <c r="E16" s="36" t="n">
        <v>0.32</v>
      </c>
      <c r="G16" s="6" t="inlineStr">
        <is>
          <t>Deferred revenue growth net of receivables. Lower in Bear as consumption pricing displaces annual billings.</t>
        </is>
      </c>
    </row>
    <row r="17">
      <c r="B17" s="8" t="inlineStr">
        <is>
          <t>FY2030E incremental revenue ($mm)</t>
        </is>
      </c>
      <c r="C17" s="30">
        <f>C9-C9/(1+C7)</f>
        <v/>
      </c>
      <c r="D17" s="30">
        <f>D9-D9/(1+D7)</f>
        <v/>
      </c>
      <c r="E17" s="30">
        <f>E9-E9/(1+E7)</f>
        <v/>
      </c>
    </row>
    <row r="18">
      <c r="B18" s="4" t="inlineStr">
        <is>
          <t>FY2030E unlevered free cash flow ($mm)</t>
        </is>
      </c>
      <c r="C18" s="55">
        <f>C11*(1-C14)+C12-C9*C15+C17*C16</f>
        <v/>
      </c>
      <c r="D18" s="55">
        <f>D11*(1-D14)+D12-D9*D15+D17*D16</f>
        <v/>
      </c>
      <c r="E18" s="55">
        <f>E11*(1-E14)+E12-E9*E15+E17*E16</f>
        <v/>
      </c>
    </row>
    <row r="19">
      <c r="B19" s="8" t="inlineStr">
        <is>
          <t>FY2026E unlevered free cash flow ($mm) — same in all scenarios</t>
        </is>
      </c>
      <c r="C19" s="30">
        <f>'DCF &amp; WACC'!C26</f>
        <v/>
      </c>
      <c r="D19" s="30">
        <f>'DCF &amp; WACC'!C26</f>
        <v/>
      </c>
      <c r="E19" s="30">
        <f>'DCF &amp; WACC'!C26</f>
        <v/>
      </c>
    </row>
    <row r="20">
      <c r="B20" s="8" t="inlineStr">
        <is>
          <t>WACC</t>
        </is>
      </c>
      <c r="C20" s="36" t="n">
        <v>0.115</v>
      </c>
      <c r="D20" s="29">
        <f>'DCF &amp; WACC'!D16</f>
        <v/>
      </c>
      <c r="E20" s="36" t="n">
        <v>0.102</v>
      </c>
      <c r="G20" s="6" t="inlineStr">
        <is>
          <t>Base is the CAPM build on the DCF tab. Bear widens it (higher beta in a disrupted franchise), Bull narrows it (a proven second growth engine de-risks the equity).</t>
        </is>
      </c>
    </row>
    <row r="21">
      <c r="B21" s="8" t="inlineStr">
        <is>
          <t>Terminal growth rate</t>
        </is>
      </c>
      <c r="C21" s="36" t="n">
        <v>0.005</v>
      </c>
      <c r="D21" s="36" t="n">
        <v>0.03</v>
      </c>
      <c r="E21" s="36" t="n">
        <v>0.0325</v>
      </c>
    </row>
    <row r="22">
      <c r="B22" s="8" t="inlineStr">
        <is>
          <t>Exit EV/EBITDA multiple (FY2030E)</t>
        </is>
      </c>
      <c r="C22" s="61" t="n">
        <v>8</v>
      </c>
      <c r="D22" s="57">
        <f>'DCF &amp; WACC'!D39</f>
        <v/>
      </c>
      <c r="E22" s="61" t="n">
        <v>13.5</v>
      </c>
      <c r="G22" s="6" t="inlineStr">
        <is>
          <t>The BASE exit multiple is CALIBRATED to the DCF-implied terminal multiple on the DCF tab, so the two methods below cannot diverge merely because someone picked a round number. Bear and Bull are given a real spread around that anchor on genuinely different quality assumptions.</t>
        </is>
      </c>
    </row>
    <row r="24" ht="20" customHeight="1">
      <c r="A24" s="7" t="inlineStr">
        <is>
          <t>METHOD 1 — DISCOUNTED CASH FLOW</t>
        </is>
      </c>
    </row>
    <row r="25">
      <c r="B25" s="8" t="inlineStr">
        <is>
          <t>PV of FY2026E-FY2030E unlevered FCF ($mm)</t>
        </is>
      </c>
      <c r="C25" s="30">
        <f>(C19*(C18/C19)^(0/4))/(1+C20)^0.5+(C19*(C18/C19)^(1/4))/(1+C20)^1.5+(C19*(C18/C19)^(2/4))/(1+C20)^2.5+(C19*(C18/C19)^(3/4))/(1+C20)^3.5+(C19*(C18/C19)^(4/4))/(1+C20)^4.5</f>
        <v/>
      </c>
      <c r="D25" s="30">
        <f>(D19*(D18/D19)^(0/4))/(1+D20)^0.5+(D19*(D18/D19)^(1/4))/(1+D20)^1.5+(D19*(D18/D19)^(2/4))/(1+D20)^2.5+(D19*(D18/D19)^(3/4))/(1+D20)^3.5+(D19*(D18/D19)^(4/4))/(1+D20)^4.5</f>
        <v/>
      </c>
      <c r="E25" s="30">
        <f>(E19*(E18/E19)^(0/4))/(1+E20)^0.5+(E19*(E18/E19)^(1/4))/(1+E20)^1.5+(E19*(E18/E19)^(2/4))/(1+E20)^2.5+(E19*(E18/E19)^(3/4))/(1+E20)^3.5+(E19*(E18/E19)^(4/4))/(1+E20)^4.5</f>
        <v/>
      </c>
      <c r="G25" s="6" t="inlineStr">
        <is>
          <t>The cash-flow path between the guided FY2026E figure and each scenario's FY2030E figure is interpolated geometrically, then discounted year by year on the same mid-year convention as the DCF tab.</t>
        </is>
      </c>
    </row>
    <row r="26">
      <c r="B26" s="8" t="inlineStr">
        <is>
          <t>Terminal value ($mm)</t>
        </is>
      </c>
      <c r="C26" s="30">
        <f>IF(C21&gt;=C20,"n/m",C18*(1+C21)/(C20-C21))</f>
        <v/>
      </c>
      <c r="D26" s="30">
        <f>IF(D21&gt;=D20,"n/m",D18*(1+D21)/(D20-D21))</f>
        <v/>
      </c>
      <c r="E26" s="30">
        <f>IF(E21&gt;=E20,"n/m",E18*(1+E21)/(E20-E21))</f>
        <v/>
      </c>
    </row>
    <row r="27">
      <c r="B27" s="8" t="inlineStr">
        <is>
          <t>PV of terminal value ($mm)</t>
        </is>
      </c>
      <c r="C27" s="30">
        <f>IFERROR(C26/(1+C20)^4.5,"n/m")</f>
        <v/>
      </c>
      <c r="D27" s="30">
        <f>IFERROR(D26/(1+D20)^4.5,"n/m")</f>
        <v/>
      </c>
      <c r="E27" s="30">
        <f>IFERROR(E26/(1+E20)^4.5,"n/m")</f>
        <v/>
      </c>
    </row>
    <row r="28">
      <c r="B28" s="4" t="inlineStr">
        <is>
          <t>Enterprise value ($mm)</t>
        </is>
      </c>
      <c r="C28" s="55">
        <f>IFERROR(C25+C27,"n/m")</f>
        <v/>
      </c>
      <c r="D28" s="55">
        <f>IFERROR(D25+D27,"n/m")</f>
        <v/>
      </c>
      <c r="E28" s="55">
        <f>IFERROR(E25+E27,"n/m")</f>
        <v/>
      </c>
    </row>
    <row r="29">
      <c r="B29" s="4" t="inlineStr">
        <is>
          <t>Implied share price — DCF</t>
        </is>
      </c>
      <c r="C29" s="58">
        <f>IFERROR((C28+Cover_Cash-Cover_Debt)/Cover_Shares,"n/m")</f>
        <v/>
      </c>
      <c r="D29" s="58">
        <f>IFERROR((D28+Cover_Cash-Cover_Debt)/Cover_Shares,"n/m")</f>
        <v/>
      </c>
      <c r="E29" s="58">
        <f>IFERROR((E28+Cover_Cash-Cover_Debt)/Cover_Shares,"n/m")</f>
        <v/>
      </c>
    </row>
    <row r="31" ht="20" customHeight="1">
      <c r="A31" s="7" t="inlineStr">
        <is>
          <t>METHOD 2 — EXIT MULTIPLE ON FY2030E EBITDA</t>
        </is>
      </c>
    </row>
    <row r="32">
      <c r="B32" s="8" t="inlineStr">
        <is>
          <t>FY2030E enterprise value at exit multiple ($mm)</t>
        </is>
      </c>
      <c r="C32" s="30">
        <f>C13*C22</f>
        <v/>
      </c>
      <c r="D32" s="30">
        <f>D13*D22</f>
        <v/>
      </c>
      <c r="E32" s="30">
        <f>E13*E22</f>
        <v/>
      </c>
    </row>
    <row r="33">
      <c r="B33" s="4" t="inlineStr">
        <is>
          <t>Enterprise value today ($mm)</t>
        </is>
      </c>
      <c r="C33" s="55">
        <f>C25+C32/(1+C20)^4.5</f>
        <v/>
      </c>
      <c r="D33" s="55">
        <f>D25+D32/(1+D20)^4.5</f>
        <v/>
      </c>
      <c r="E33" s="55">
        <f>E25+E32/(1+E20)^4.5</f>
        <v/>
      </c>
    </row>
    <row r="34">
      <c r="B34" s="4" t="inlineStr">
        <is>
          <t>Implied share price — exit multiple</t>
        </is>
      </c>
      <c r="C34" s="58">
        <f>IFERROR((C33+Cover_Cash-Cover_Debt)/Cover_Shares,"n/m")</f>
        <v/>
      </c>
      <c r="D34" s="58">
        <f>IFERROR((D33+Cover_Cash-Cover_Debt)/Cover_Shares,"n/m")</f>
        <v/>
      </c>
      <c r="E34" s="58">
        <f>IFERROR((E33+Cover_Cash-Cover_Debt)/Cover_Shares,"n/m")</f>
        <v/>
      </c>
    </row>
    <row r="36" ht="20" customHeight="1">
      <c r="A36" s="7" t="inlineStr">
        <is>
          <t>BLENDED TARGET, UPSIDE AND PROBABILITY WEIGHTING</t>
        </is>
      </c>
    </row>
    <row r="37">
      <c r="B37" s="4" t="inlineStr">
        <is>
          <t>Blended target (average of the two methods)</t>
        </is>
      </c>
      <c r="C37" s="58">
        <f>IFERROR(AVERAGE(C29,C34),"n/m")</f>
        <v/>
      </c>
      <c r="D37" s="58">
        <f>IFERROR(AVERAGE(D29,D34),"n/m")</f>
        <v/>
      </c>
      <c r="E37" s="58">
        <f>IFERROR(AVERAGE(E29,E34),"n/m")</f>
        <v/>
      </c>
    </row>
    <row r="38">
      <c r="B38" s="4" t="inlineStr">
        <is>
          <t>Upside / (downside) vs. current price</t>
        </is>
      </c>
      <c r="C38" s="62">
        <f>IFERROR(C37/Cover_Price-1,"n/m")</f>
        <v/>
      </c>
      <c r="D38" s="62">
        <f>IFERROR(D37/Cover_Price-1,"n/m")</f>
        <v/>
      </c>
      <c r="E38" s="62">
        <f>IFERROR(E37/Cover_Price-1,"n/m")</f>
        <v/>
      </c>
    </row>
    <row r="39">
      <c r="B39" s="8" t="inlineStr">
        <is>
          <t>Scenario probability weight</t>
        </is>
      </c>
      <c r="C39" s="63" t="n">
        <v>0.3</v>
      </c>
      <c r="D39" s="63" t="n">
        <v>0.5</v>
      </c>
      <c r="E39" s="63" t="n">
        <v>0.2</v>
      </c>
      <c r="G39" s="6" t="inlineStr">
        <is>
          <t>The model's own judgment, stated explicitly rather than buried. Weighted toward Base because FY2026E is effectively locked by guidance and three quarters of actuals. The Bear weight EXCEEDS the Bull weight deliberately: AI substitution of a seat-based creative franchise is a real risk, it has not been falsified, and the H2 FY26 ARR deceleration is the first hard evidence either way.</t>
        </is>
      </c>
    </row>
    <row r="40">
      <c r="B40" s="4" t="inlineStr">
        <is>
          <t>PROBABILITY-WEIGHTED TARGET PRICE</t>
        </is>
      </c>
      <c r="C40" s="64">
        <f>SUMPRODUCT(C37:E37,C39:E39)</f>
        <v/>
      </c>
    </row>
    <row r="41">
      <c r="B41" s="4" t="inlineStr">
        <is>
          <t>Upside / (downside) to probability-weighted target</t>
        </is>
      </c>
      <c r="C41" s="62">
        <f>IFERROR(C40/Cover_Price-1,"n/m")</f>
        <v/>
      </c>
    </row>
    <row r="42">
      <c r="B42" s="8" t="inlineStr">
        <is>
          <t>Check: scenario weights sum to 100%</t>
        </is>
      </c>
      <c r="C42" s="56">
        <f>SUM(C39:E39)</f>
        <v/>
      </c>
    </row>
    <row r="44" ht="92" customHeight="1">
      <c r="B44" s="6" t="inlineStr">
        <is>
          <t>WHICH SCENARIO IS THE MARKET PRICING? At $291.52 the stock sits between the Bear and Base outcomes, much closer to Bear than the headline multiple suggests. The reverse DCF on the DCF &amp; WACC tab makes the same point without any scenario machinery: the current price implies a perpetual growth rate far below inflation. For today's price to be FAIR rather than cheap, one of two things must be true — either the FY2026E-FY2030E revenue CAGR is nearer the Bear 3.5% than the guided trajectory, or the FY2030E operating margin settles closer to 29% than 37% because generative-AI inference cost and permanent customer acquisition spend are structural rather than transitional. Both are legitimate views. Neither is what Adobe's own reported numbers show as of Q2 FY2026, which is the substance of the disagreement.</t>
        </is>
      </c>
    </row>
  </sheetData>
  <mergeCells count="6">
    <mergeCell ref="B3:G3"/>
    <mergeCell ref="A24:E24"/>
    <mergeCell ref="A2:E2"/>
    <mergeCell ref="A36:E36"/>
    <mergeCell ref="A31:E31"/>
    <mergeCell ref="B44:G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I15"/>
  <sheetViews>
    <sheetView showGridLines="0" workbookViewId="0">
      <selection activeCell="A1" sqref="A1"/>
    </sheetView>
  </sheetViews>
  <sheetFormatPr baseColWidth="8" defaultRowHeight="15"/>
  <cols>
    <col width="2" customWidth="1" min="1" max="1"/>
    <col width="26" customWidth="1" min="2" max="2"/>
    <col width="13" customWidth="1" min="3" max="3"/>
    <col width="13" customWidth="1" min="4" max="4"/>
    <col width="13" customWidth="1" min="5" max="5"/>
    <col width="13" customWidth="1" min="6" max="6"/>
    <col width="13" customWidth="1" min="7" max="7"/>
    <col width="13" customWidth="1" min="8" max="8"/>
    <col width="3" customWidth="1" min="9" max="9"/>
  </cols>
  <sheetData>
    <row r="2" ht="20" customHeight="1">
      <c r="A2" s="7" t="inlineStr">
        <is>
          <t>IMPLIED SHARE PRICE — WACC x TERMINAL GROWTH (Base-case cash flows)</t>
        </is>
      </c>
    </row>
    <row r="3" ht="32" customHeight="1">
      <c r="B3" s="6" t="inlineStr">
        <is>
          <t>Rebuilds the DCF arithmetic inside each cell rather than using a what-if Data Table, so the grid is live and portable across Excel and LibreOffice. Both axes are cell references, so editing an axis label genuinely changes the grid.</t>
        </is>
      </c>
    </row>
    <row r="5">
      <c r="B5" s="43" t="inlineStr">
        <is>
          <t>WACC DOWN / terminal growth ACROSS</t>
        </is>
      </c>
      <c r="C5" s="44" t="n">
        <v>0.01</v>
      </c>
      <c r="D5" s="44" t="n">
        <v>0.018</v>
      </c>
      <c r="E5" s="44" t="n">
        <v>0.025</v>
      </c>
      <c r="F5" s="44" t="n">
        <v>0.03</v>
      </c>
      <c r="G5" s="44" t="n">
        <v>0.035</v>
      </c>
      <c r="H5" s="44" t="n">
        <v>0.04</v>
      </c>
    </row>
    <row r="6">
      <c r="B6" s="44">
        <f>'DCF &amp; WACC'!D16-0.02</f>
        <v/>
      </c>
      <c r="C6" s="48">
        <f>IF(C$5&gt;=$B6,"n/m",IFERROR((('DCF &amp; WACC'!C26/(1+$B6)^'DCF &amp; WACC'!C27+'DCF &amp; WACC'!D26/(1+$B6)^'DCF &amp; WACC'!D27+'DCF &amp; WACC'!E26/(1+$B6)^'DCF &amp; WACC'!E27+'DCF &amp; WACC'!F26/(1+$B6)^'DCF &amp; WACC'!F27+'DCF &amp; WACC'!G26/(1+$B6)^'DCF &amp; WACC'!G27)+(('DCF &amp; WACC'!G26*(1+C$5))/($B6-C$5))/(1+$B6)^'DCF &amp; WACC'!G27+Cover_Cash-Cover_Debt)/Cover_Shares,"n/m"))</f>
        <v/>
      </c>
      <c r="D6" s="48">
        <f>IF(D$5&gt;=$B6,"n/m",IFERROR((('DCF &amp; WACC'!C26/(1+$B6)^'DCF &amp; WACC'!C27+'DCF &amp; WACC'!D26/(1+$B6)^'DCF &amp; WACC'!D27+'DCF &amp; WACC'!E26/(1+$B6)^'DCF &amp; WACC'!E27+'DCF &amp; WACC'!F26/(1+$B6)^'DCF &amp; WACC'!F27+'DCF &amp; WACC'!G26/(1+$B6)^'DCF &amp; WACC'!G27)+(('DCF &amp; WACC'!G26*(1+D$5))/($B6-D$5))/(1+$B6)^'DCF &amp; WACC'!G27+Cover_Cash-Cover_Debt)/Cover_Shares,"n/m"))</f>
        <v/>
      </c>
      <c r="E6" s="48">
        <f>IF(E$5&gt;=$B6,"n/m",IFERROR((('DCF &amp; WACC'!C26/(1+$B6)^'DCF &amp; WACC'!C27+'DCF &amp; WACC'!D26/(1+$B6)^'DCF &amp; WACC'!D27+'DCF &amp; WACC'!E26/(1+$B6)^'DCF &amp; WACC'!E27+'DCF &amp; WACC'!F26/(1+$B6)^'DCF &amp; WACC'!F27+'DCF &amp; WACC'!G26/(1+$B6)^'DCF &amp; WACC'!G27)+(('DCF &amp; WACC'!G26*(1+E$5))/($B6-E$5))/(1+$B6)^'DCF &amp; WACC'!G27+Cover_Cash-Cover_Debt)/Cover_Shares,"n/m"))</f>
        <v/>
      </c>
      <c r="F6" s="48">
        <f>IF(F$5&gt;=$B6,"n/m",IFERROR((('DCF &amp; WACC'!C26/(1+$B6)^'DCF &amp; WACC'!C27+'DCF &amp; WACC'!D26/(1+$B6)^'DCF &amp; WACC'!D27+'DCF &amp; WACC'!E26/(1+$B6)^'DCF &amp; WACC'!E27+'DCF &amp; WACC'!F26/(1+$B6)^'DCF &amp; WACC'!F27+'DCF &amp; WACC'!G26/(1+$B6)^'DCF &amp; WACC'!G27)+(('DCF &amp; WACC'!G26*(1+F$5))/($B6-F$5))/(1+$B6)^'DCF &amp; WACC'!G27+Cover_Cash-Cover_Debt)/Cover_Shares,"n/m"))</f>
        <v/>
      </c>
      <c r="G6" s="48">
        <f>IF(G$5&gt;=$B6,"n/m",IFERROR((('DCF &amp; WACC'!C26/(1+$B6)^'DCF &amp; WACC'!C27+'DCF &amp; WACC'!D26/(1+$B6)^'DCF &amp; WACC'!D27+'DCF &amp; WACC'!E26/(1+$B6)^'DCF &amp; WACC'!E27+'DCF &amp; WACC'!F26/(1+$B6)^'DCF &amp; WACC'!F27+'DCF &amp; WACC'!G26/(1+$B6)^'DCF &amp; WACC'!G27)+(('DCF &amp; WACC'!G26*(1+G$5))/($B6-G$5))/(1+$B6)^'DCF &amp; WACC'!G27+Cover_Cash-Cover_Debt)/Cover_Shares,"n/m"))</f>
        <v/>
      </c>
      <c r="H6" s="48">
        <f>IF(H$5&gt;=$B6,"n/m",IFERROR((('DCF &amp; WACC'!C26/(1+$B6)^'DCF &amp; WACC'!C27+'DCF &amp; WACC'!D26/(1+$B6)^'DCF &amp; WACC'!D27+'DCF &amp; WACC'!E26/(1+$B6)^'DCF &amp; WACC'!E27+'DCF &amp; WACC'!F26/(1+$B6)^'DCF &amp; WACC'!F27+'DCF &amp; WACC'!G26/(1+$B6)^'DCF &amp; WACC'!G27)+(('DCF &amp; WACC'!G26*(1+H$5))/($B6-H$5))/(1+$B6)^'DCF &amp; WACC'!G27+Cover_Cash-Cover_Debt)/Cover_Shares,"n/m"))</f>
        <v/>
      </c>
    </row>
    <row r="7">
      <c r="B7" s="44">
        <f>'DCF &amp; WACC'!D16-0.01</f>
        <v/>
      </c>
      <c r="C7" s="48">
        <f>IF(C$5&gt;=$B7,"n/m",IFERROR((('DCF &amp; WACC'!C26/(1+$B7)^'DCF &amp; WACC'!C27+'DCF &amp; WACC'!D26/(1+$B7)^'DCF &amp; WACC'!D27+'DCF &amp; WACC'!E26/(1+$B7)^'DCF &amp; WACC'!E27+'DCF &amp; WACC'!F26/(1+$B7)^'DCF &amp; WACC'!F27+'DCF &amp; WACC'!G26/(1+$B7)^'DCF &amp; WACC'!G27)+(('DCF &amp; WACC'!G26*(1+C$5))/($B7-C$5))/(1+$B7)^'DCF &amp; WACC'!G27+Cover_Cash-Cover_Debt)/Cover_Shares,"n/m"))</f>
        <v/>
      </c>
      <c r="D7" s="48">
        <f>IF(D$5&gt;=$B7,"n/m",IFERROR((('DCF &amp; WACC'!C26/(1+$B7)^'DCF &amp; WACC'!C27+'DCF &amp; WACC'!D26/(1+$B7)^'DCF &amp; WACC'!D27+'DCF &amp; WACC'!E26/(1+$B7)^'DCF &amp; WACC'!E27+'DCF &amp; WACC'!F26/(1+$B7)^'DCF &amp; WACC'!F27+'DCF &amp; WACC'!G26/(1+$B7)^'DCF &amp; WACC'!G27)+(('DCF &amp; WACC'!G26*(1+D$5))/($B7-D$5))/(1+$B7)^'DCF &amp; WACC'!G27+Cover_Cash-Cover_Debt)/Cover_Shares,"n/m"))</f>
        <v/>
      </c>
      <c r="E7" s="48">
        <f>IF(E$5&gt;=$B7,"n/m",IFERROR((('DCF &amp; WACC'!C26/(1+$B7)^'DCF &amp; WACC'!C27+'DCF &amp; WACC'!D26/(1+$B7)^'DCF &amp; WACC'!D27+'DCF &amp; WACC'!E26/(1+$B7)^'DCF &amp; WACC'!E27+'DCF &amp; WACC'!F26/(1+$B7)^'DCF &amp; WACC'!F27+'DCF &amp; WACC'!G26/(1+$B7)^'DCF &amp; WACC'!G27)+(('DCF &amp; WACC'!G26*(1+E$5))/($B7-E$5))/(1+$B7)^'DCF &amp; WACC'!G27+Cover_Cash-Cover_Debt)/Cover_Shares,"n/m"))</f>
        <v/>
      </c>
      <c r="F7" s="48">
        <f>IF(F$5&gt;=$B7,"n/m",IFERROR((('DCF &amp; WACC'!C26/(1+$B7)^'DCF &amp; WACC'!C27+'DCF &amp; WACC'!D26/(1+$B7)^'DCF &amp; WACC'!D27+'DCF &amp; WACC'!E26/(1+$B7)^'DCF &amp; WACC'!E27+'DCF &amp; WACC'!F26/(1+$B7)^'DCF &amp; WACC'!F27+'DCF &amp; WACC'!G26/(1+$B7)^'DCF &amp; WACC'!G27)+(('DCF &amp; WACC'!G26*(1+F$5))/($B7-F$5))/(1+$B7)^'DCF &amp; WACC'!G27+Cover_Cash-Cover_Debt)/Cover_Shares,"n/m"))</f>
        <v/>
      </c>
      <c r="G7" s="48">
        <f>IF(G$5&gt;=$B7,"n/m",IFERROR((('DCF &amp; WACC'!C26/(1+$B7)^'DCF &amp; WACC'!C27+'DCF &amp; WACC'!D26/(1+$B7)^'DCF &amp; WACC'!D27+'DCF &amp; WACC'!E26/(1+$B7)^'DCF &amp; WACC'!E27+'DCF &amp; WACC'!F26/(1+$B7)^'DCF &amp; WACC'!F27+'DCF &amp; WACC'!G26/(1+$B7)^'DCF &amp; WACC'!G27)+(('DCF &amp; WACC'!G26*(1+G$5))/($B7-G$5))/(1+$B7)^'DCF &amp; WACC'!G27+Cover_Cash-Cover_Debt)/Cover_Shares,"n/m"))</f>
        <v/>
      </c>
      <c r="H7" s="48">
        <f>IF(H$5&gt;=$B7,"n/m",IFERROR((('DCF &amp; WACC'!C26/(1+$B7)^'DCF &amp; WACC'!C27+'DCF &amp; WACC'!D26/(1+$B7)^'DCF &amp; WACC'!D27+'DCF &amp; WACC'!E26/(1+$B7)^'DCF &amp; WACC'!E27+'DCF &amp; WACC'!F26/(1+$B7)^'DCF &amp; WACC'!F27+'DCF &amp; WACC'!G26/(1+$B7)^'DCF &amp; WACC'!G27)+(('DCF &amp; WACC'!G26*(1+H$5))/($B7-H$5))/(1+$B7)^'DCF &amp; WACC'!G27+Cover_Cash-Cover_Debt)/Cover_Shares,"n/m"))</f>
        <v/>
      </c>
    </row>
    <row r="8">
      <c r="B8" s="44">
        <f>'DCF &amp; WACC'!D16-0.005</f>
        <v/>
      </c>
      <c r="C8" s="48">
        <f>IF(C$5&gt;=$B8,"n/m",IFERROR((('DCF &amp; WACC'!C26/(1+$B8)^'DCF &amp; WACC'!C27+'DCF &amp; WACC'!D26/(1+$B8)^'DCF &amp; WACC'!D27+'DCF &amp; WACC'!E26/(1+$B8)^'DCF &amp; WACC'!E27+'DCF &amp; WACC'!F26/(1+$B8)^'DCF &amp; WACC'!F27+'DCF &amp; WACC'!G26/(1+$B8)^'DCF &amp; WACC'!G27)+(('DCF &amp; WACC'!G26*(1+C$5))/($B8-C$5))/(1+$B8)^'DCF &amp; WACC'!G27+Cover_Cash-Cover_Debt)/Cover_Shares,"n/m"))</f>
        <v/>
      </c>
      <c r="D8" s="48">
        <f>IF(D$5&gt;=$B8,"n/m",IFERROR((('DCF &amp; WACC'!C26/(1+$B8)^'DCF &amp; WACC'!C27+'DCF &amp; WACC'!D26/(1+$B8)^'DCF &amp; WACC'!D27+'DCF &amp; WACC'!E26/(1+$B8)^'DCF &amp; WACC'!E27+'DCF &amp; WACC'!F26/(1+$B8)^'DCF &amp; WACC'!F27+'DCF &amp; WACC'!G26/(1+$B8)^'DCF &amp; WACC'!G27)+(('DCF &amp; WACC'!G26*(1+D$5))/($B8-D$5))/(1+$B8)^'DCF &amp; WACC'!G27+Cover_Cash-Cover_Debt)/Cover_Shares,"n/m"))</f>
        <v/>
      </c>
      <c r="E8" s="48">
        <f>IF(E$5&gt;=$B8,"n/m",IFERROR((('DCF &amp; WACC'!C26/(1+$B8)^'DCF &amp; WACC'!C27+'DCF &amp; WACC'!D26/(1+$B8)^'DCF &amp; WACC'!D27+'DCF &amp; WACC'!E26/(1+$B8)^'DCF &amp; WACC'!E27+'DCF &amp; WACC'!F26/(1+$B8)^'DCF &amp; WACC'!F27+'DCF &amp; WACC'!G26/(1+$B8)^'DCF &amp; WACC'!G27)+(('DCF &amp; WACC'!G26*(1+E$5))/($B8-E$5))/(1+$B8)^'DCF &amp; WACC'!G27+Cover_Cash-Cover_Debt)/Cover_Shares,"n/m"))</f>
        <v/>
      </c>
      <c r="F8" s="48">
        <f>IF(F$5&gt;=$B8,"n/m",IFERROR((('DCF &amp; WACC'!C26/(1+$B8)^'DCF &amp; WACC'!C27+'DCF &amp; WACC'!D26/(1+$B8)^'DCF &amp; WACC'!D27+'DCF &amp; WACC'!E26/(1+$B8)^'DCF &amp; WACC'!E27+'DCF &amp; WACC'!F26/(1+$B8)^'DCF &amp; WACC'!F27+'DCF &amp; WACC'!G26/(1+$B8)^'DCF &amp; WACC'!G27)+(('DCF &amp; WACC'!G26*(1+F$5))/($B8-F$5))/(1+$B8)^'DCF &amp; WACC'!G27+Cover_Cash-Cover_Debt)/Cover_Shares,"n/m"))</f>
        <v/>
      </c>
      <c r="G8" s="48">
        <f>IF(G$5&gt;=$B8,"n/m",IFERROR((('DCF &amp; WACC'!C26/(1+$B8)^'DCF &amp; WACC'!C27+'DCF &amp; WACC'!D26/(1+$B8)^'DCF &amp; WACC'!D27+'DCF &amp; WACC'!E26/(1+$B8)^'DCF &amp; WACC'!E27+'DCF &amp; WACC'!F26/(1+$B8)^'DCF &amp; WACC'!F27+'DCF &amp; WACC'!G26/(1+$B8)^'DCF &amp; WACC'!G27)+(('DCF &amp; WACC'!G26*(1+G$5))/($B8-G$5))/(1+$B8)^'DCF &amp; WACC'!G27+Cover_Cash-Cover_Debt)/Cover_Shares,"n/m"))</f>
        <v/>
      </c>
      <c r="H8" s="48">
        <f>IF(H$5&gt;=$B8,"n/m",IFERROR((('DCF &amp; WACC'!C26/(1+$B8)^'DCF &amp; WACC'!C27+'DCF &amp; WACC'!D26/(1+$B8)^'DCF &amp; WACC'!D27+'DCF &amp; WACC'!E26/(1+$B8)^'DCF &amp; WACC'!E27+'DCF &amp; WACC'!F26/(1+$B8)^'DCF &amp; WACC'!F27+'DCF &amp; WACC'!G26/(1+$B8)^'DCF &amp; WACC'!G27)+(('DCF &amp; WACC'!G26*(1+H$5))/($B8-H$5))/(1+$B8)^'DCF &amp; WACC'!G27+Cover_Cash-Cover_Debt)/Cover_Shares,"n/m"))</f>
        <v/>
      </c>
    </row>
    <row r="9">
      <c r="B9" s="44">
        <f>'DCF &amp; WACC'!D16+0.0</f>
        <v/>
      </c>
      <c r="C9" s="48">
        <f>IF(C$5&gt;=$B9,"n/m",IFERROR((('DCF &amp; WACC'!C26/(1+$B9)^'DCF &amp; WACC'!C27+'DCF &amp; WACC'!D26/(1+$B9)^'DCF &amp; WACC'!D27+'DCF &amp; WACC'!E26/(1+$B9)^'DCF &amp; WACC'!E27+'DCF &amp; WACC'!F26/(1+$B9)^'DCF &amp; WACC'!F27+'DCF &amp; WACC'!G26/(1+$B9)^'DCF &amp; WACC'!G27)+(('DCF &amp; WACC'!G26*(1+C$5))/($B9-C$5))/(1+$B9)^'DCF &amp; WACC'!G27+Cover_Cash-Cover_Debt)/Cover_Shares,"n/m"))</f>
        <v/>
      </c>
      <c r="D9" s="48">
        <f>IF(D$5&gt;=$B9,"n/m",IFERROR((('DCF &amp; WACC'!C26/(1+$B9)^'DCF &amp; WACC'!C27+'DCF &amp; WACC'!D26/(1+$B9)^'DCF &amp; WACC'!D27+'DCF &amp; WACC'!E26/(1+$B9)^'DCF &amp; WACC'!E27+'DCF &amp; WACC'!F26/(1+$B9)^'DCF &amp; WACC'!F27+'DCF &amp; WACC'!G26/(1+$B9)^'DCF &amp; WACC'!G27)+(('DCF &amp; WACC'!G26*(1+D$5))/($B9-D$5))/(1+$B9)^'DCF &amp; WACC'!G27+Cover_Cash-Cover_Debt)/Cover_Shares,"n/m"))</f>
        <v/>
      </c>
      <c r="E9" s="48">
        <f>IF(E$5&gt;=$B9,"n/m",IFERROR((('DCF &amp; WACC'!C26/(1+$B9)^'DCF &amp; WACC'!C27+'DCF &amp; WACC'!D26/(1+$B9)^'DCF &amp; WACC'!D27+'DCF &amp; WACC'!E26/(1+$B9)^'DCF &amp; WACC'!E27+'DCF &amp; WACC'!F26/(1+$B9)^'DCF &amp; WACC'!F27+'DCF &amp; WACC'!G26/(1+$B9)^'DCF &amp; WACC'!G27)+(('DCF &amp; WACC'!G26*(1+E$5))/($B9-E$5))/(1+$B9)^'DCF &amp; WACC'!G27+Cover_Cash-Cover_Debt)/Cover_Shares,"n/m"))</f>
        <v/>
      </c>
      <c r="F9" s="48">
        <f>IF(F$5&gt;=$B9,"n/m",IFERROR((('DCF &amp; WACC'!C26/(1+$B9)^'DCF &amp; WACC'!C27+'DCF &amp; WACC'!D26/(1+$B9)^'DCF &amp; WACC'!D27+'DCF &amp; WACC'!E26/(1+$B9)^'DCF &amp; WACC'!E27+'DCF &amp; WACC'!F26/(1+$B9)^'DCF &amp; WACC'!F27+'DCF &amp; WACC'!G26/(1+$B9)^'DCF &amp; WACC'!G27)+(('DCF &amp; WACC'!G26*(1+F$5))/($B9-F$5))/(1+$B9)^'DCF &amp; WACC'!G27+Cover_Cash-Cover_Debt)/Cover_Shares,"n/m"))</f>
        <v/>
      </c>
      <c r="G9" s="48">
        <f>IF(G$5&gt;=$B9,"n/m",IFERROR((('DCF &amp; WACC'!C26/(1+$B9)^'DCF &amp; WACC'!C27+'DCF &amp; WACC'!D26/(1+$B9)^'DCF &amp; WACC'!D27+'DCF &amp; WACC'!E26/(1+$B9)^'DCF &amp; WACC'!E27+'DCF &amp; WACC'!F26/(1+$B9)^'DCF &amp; WACC'!F27+'DCF &amp; WACC'!G26/(1+$B9)^'DCF &amp; WACC'!G27)+(('DCF &amp; WACC'!G26*(1+G$5))/($B9-G$5))/(1+$B9)^'DCF &amp; WACC'!G27+Cover_Cash-Cover_Debt)/Cover_Shares,"n/m"))</f>
        <v/>
      </c>
      <c r="H9" s="48">
        <f>IF(H$5&gt;=$B9,"n/m",IFERROR((('DCF &amp; WACC'!C26/(1+$B9)^'DCF &amp; WACC'!C27+'DCF &amp; WACC'!D26/(1+$B9)^'DCF &amp; WACC'!D27+'DCF &amp; WACC'!E26/(1+$B9)^'DCF &amp; WACC'!E27+'DCF &amp; WACC'!F26/(1+$B9)^'DCF &amp; WACC'!F27+'DCF &amp; WACC'!G26/(1+$B9)^'DCF &amp; WACC'!G27)+(('DCF &amp; WACC'!G26*(1+H$5))/($B9-H$5))/(1+$B9)^'DCF &amp; WACC'!G27+Cover_Cash-Cover_Debt)/Cover_Shares,"n/m"))</f>
        <v/>
      </c>
    </row>
    <row r="10">
      <c r="B10" s="44">
        <f>'DCF &amp; WACC'!D16+0.01</f>
        <v/>
      </c>
      <c r="C10" s="48">
        <f>IF(C$5&gt;=$B10,"n/m",IFERROR((('DCF &amp; WACC'!C26/(1+$B10)^'DCF &amp; WACC'!C27+'DCF &amp; WACC'!D26/(1+$B10)^'DCF &amp; WACC'!D27+'DCF &amp; WACC'!E26/(1+$B10)^'DCF &amp; WACC'!E27+'DCF &amp; WACC'!F26/(1+$B10)^'DCF &amp; WACC'!F27+'DCF &amp; WACC'!G26/(1+$B10)^'DCF &amp; WACC'!G27)+(('DCF &amp; WACC'!G26*(1+C$5))/($B10-C$5))/(1+$B10)^'DCF &amp; WACC'!G27+Cover_Cash-Cover_Debt)/Cover_Shares,"n/m"))</f>
        <v/>
      </c>
      <c r="D10" s="48">
        <f>IF(D$5&gt;=$B10,"n/m",IFERROR((('DCF &amp; WACC'!C26/(1+$B10)^'DCF &amp; WACC'!C27+'DCF &amp; WACC'!D26/(1+$B10)^'DCF &amp; WACC'!D27+'DCF &amp; WACC'!E26/(1+$B10)^'DCF &amp; WACC'!E27+'DCF &amp; WACC'!F26/(1+$B10)^'DCF &amp; WACC'!F27+'DCF &amp; WACC'!G26/(1+$B10)^'DCF &amp; WACC'!G27)+(('DCF &amp; WACC'!G26*(1+D$5))/($B10-D$5))/(1+$B10)^'DCF &amp; WACC'!G27+Cover_Cash-Cover_Debt)/Cover_Shares,"n/m"))</f>
        <v/>
      </c>
      <c r="E10" s="48">
        <f>IF(E$5&gt;=$B10,"n/m",IFERROR((('DCF &amp; WACC'!C26/(1+$B10)^'DCF &amp; WACC'!C27+'DCF &amp; WACC'!D26/(1+$B10)^'DCF &amp; WACC'!D27+'DCF &amp; WACC'!E26/(1+$B10)^'DCF &amp; WACC'!E27+'DCF &amp; WACC'!F26/(1+$B10)^'DCF &amp; WACC'!F27+'DCF &amp; WACC'!G26/(1+$B10)^'DCF &amp; WACC'!G27)+(('DCF &amp; WACC'!G26*(1+E$5))/($B10-E$5))/(1+$B10)^'DCF &amp; WACC'!G27+Cover_Cash-Cover_Debt)/Cover_Shares,"n/m"))</f>
        <v/>
      </c>
      <c r="F10" s="48">
        <f>IF(F$5&gt;=$B10,"n/m",IFERROR((('DCF &amp; WACC'!C26/(1+$B10)^'DCF &amp; WACC'!C27+'DCF &amp; WACC'!D26/(1+$B10)^'DCF &amp; WACC'!D27+'DCF &amp; WACC'!E26/(1+$B10)^'DCF &amp; WACC'!E27+'DCF &amp; WACC'!F26/(1+$B10)^'DCF &amp; WACC'!F27+'DCF &amp; WACC'!G26/(1+$B10)^'DCF &amp; WACC'!G27)+(('DCF &amp; WACC'!G26*(1+F$5))/($B10-F$5))/(1+$B10)^'DCF &amp; WACC'!G27+Cover_Cash-Cover_Debt)/Cover_Shares,"n/m"))</f>
        <v/>
      </c>
      <c r="G10" s="48">
        <f>IF(G$5&gt;=$B10,"n/m",IFERROR((('DCF &amp; WACC'!C26/(1+$B10)^'DCF &amp; WACC'!C27+'DCF &amp; WACC'!D26/(1+$B10)^'DCF &amp; WACC'!D27+'DCF &amp; WACC'!E26/(1+$B10)^'DCF &amp; WACC'!E27+'DCF &amp; WACC'!F26/(1+$B10)^'DCF &amp; WACC'!F27+'DCF &amp; WACC'!G26/(1+$B10)^'DCF &amp; WACC'!G27)+(('DCF &amp; WACC'!G26*(1+G$5))/($B10-G$5))/(1+$B10)^'DCF &amp; WACC'!G27+Cover_Cash-Cover_Debt)/Cover_Shares,"n/m"))</f>
        <v/>
      </c>
      <c r="H10" s="48">
        <f>IF(H$5&gt;=$B10,"n/m",IFERROR((('DCF &amp; WACC'!C26/(1+$B10)^'DCF &amp; WACC'!C27+'DCF &amp; WACC'!D26/(1+$B10)^'DCF &amp; WACC'!D27+'DCF &amp; WACC'!E26/(1+$B10)^'DCF &amp; WACC'!E27+'DCF &amp; WACC'!F26/(1+$B10)^'DCF &amp; WACC'!F27+'DCF &amp; WACC'!G26/(1+$B10)^'DCF &amp; WACC'!G27)+(('DCF &amp; WACC'!G26*(1+H$5))/($B10-H$5))/(1+$B10)^'DCF &amp; WACC'!G27+Cover_Cash-Cover_Debt)/Cover_Shares,"n/m"))</f>
        <v/>
      </c>
    </row>
    <row r="11">
      <c r="B11" s="44">
        <f>'DCF &amp; WACC'!D16+0.02</f>
        <v/>
      </c>
      <c r="C11" s="48">
        <f>IF(C$5&gt;=$B11,"n/m",IFERROR((('DCF &amp; WACC'!C26/(1+$B11)^'DCF &amp; WACC'!C27+'DCF &amp; WACC'!D26/(1+$B11)^'DCF &amp; WACC'!D27+'DCF &amp; WACC'!E26/(1+$B11)^'DCF &amp; WACC'!E27+'DCF &amp; WACC'!F26/(1+$B11)^'DCF &amp; WACC'!F27+'DCF &amp; WACC'!G26/(1+$B11)^'DCF &amp; WACC'!G27)+(('DCF &amp; WACC'!G26*(1+C$5))/($B11-C$5))/(1+$B11)^'DCF &amp; WACC'!G27+Cover_Cash-Cover_Debt)/Cover_Shares,"n/m"))</f>
        <v/>
      </c>
      <c r="D11" s="48">
        <f>IF(D$5&gt;=$B11,"n/m",IFERROR((('DCF &amp; WACC'!C26/(1+$B11)^'DCF &amp; WACC'!C27+'DCF &amp; WACC'!D26/(1+$B11)^'DCF &amp; WACC'!D27+'DCF &amp; WACC'!E26/(1+$B11)^'DCF &amp; WACC'!E27+'DCF &amp; WACC'!F26/(1+$B11)^'DCF &amp; WACC'!F27+'DCF &amp; WACC'!G26/(1+$B11)^'DCF &amp; WACC'!G27)+(('DCF &amp; WACC'!G26*(1+D$5))/($B11-D$5))/(1+$B11)^'DCF &amp; WACC'!G27+Cover_Cash-Cover_Debt)/Cover_Shares,"n/m"))</f>
        <v/>
      </c>
      <c r="E11" s="48">
        <f>IF(E$5&gt;=$B11,"n/m",IFERROR((('DCF &amp; WACC'!C26/(1+$B11)^'DCF &amp; WACC'!C27+'DCF &amp; WACC'!D26/(1+$B11)^'DCF &amp; WACC'!D27+'DCF &amp; WACC'!E26/(1+$B11)^'DCF &amp; WACC'!E27+'DCF &amp; WACC'!F26/(1+$B11)^'DCF &amp; WACC'!F27+'DCF &amp; WACC'!G26/(1+$B11)^'DCF &amp; WACC'!G27)+(('DCF &amp; WACC'!G26*(1+E$5))/($B11-E$5))/(1+$B11)^'DCF &amp; WACC'!G27+Cover_Cash-Cover_Debt)/Cover_Shares,"n/m"))</f>
        <v/>
      </c>
      <c r="F11" s="48">
        <f>IF(F$5&gt;=$B11,"n/m",IFERROR((('DCF &amp; WACC'!C26/(1+$B11)^'DCF &amp; WACC'!C27+'DCF &amp; WACC'!D26/(1+$B11)^'DCF &amp; WACC'!D27+'DCF &amp; WACC'!E26/(1+$B11)^'DCF &amp; WACC'!E27+'DCF &amp; WACC'!F26/(1+$B11)^'DCF &amp; WACC'!F27+'DCF &amp; WACC'!G26/(1+$B11)^'DCF &amp; WACC'!G27)+(('DCF &amp; WACC'!G26*(1+F$5))/($B11-F$5))/(1+$B11)^'DCF &amp; WACC'!G27+Cover_Cash-Cover_Debt)/Cover_Shares,"n/m"))</f>
        <v/>
      </c>
      <c r="G11" s="48">
        <f>IF(G$5&gt;=$B11,"n/m",IFERROR((('DCF &amp; WACC'!C26/(1+$B11)^'DCF &amp; WACC'!C27+'DCF &amp; WACC'!D26/(1+$B11)^'DCF &amp; WACC'!D27+'DCF &amp; WACC'!E26/(1+$B11)^'DCF &amp; WACC'!E27+'DCF &amp; WACC'!F26/(1+$B11)^'DCF &amp; WACC'!F27+'DCF &amp; WACC'!G26/(1+$B11)^'DCF &amp; WACC'!G27)+(('DCF &amp; WACC'!G26*(1+G$5))/($B11-G$5))/(1+$B11)^'DCF &amp; WACC'!G27+Cover_Cash-Cover_Debt)/Cover_Shares,"n/m"))</f>
        <v/>
      </c>
      <c r="H11" s="48">
        <f>IF(H$5&gt;=$B11,"n/m",IFERROR((('DCF &amp; WACC'!C26/(1+$B11)^'DCF &amp; WACC'!C27+'DCF &amp; WACC'!D26/(1+$B11)^'DCF &amp; WACC'!D27+'DCF &amp; WACC'!E26/(1+$B11)^'DCF &amp; WACC'!E27+'DCF &amp; WACC'!F26/(1+$B11)^'DCF &amp; WACC'!F27+'DCF &amp; WACC'!G26/(1+$B11)^'DCF &amp; WACC'!G27)+(('DCF &amp; WACC'!G26*(1+H$5))/($B11-H$5))/(1+$B11)^'DCF &amp; WACC'!G27+Cover_Cash-Cover_Debt)/Cover_Shares,"n/m"))</f>
        <v/>
      </c>
    </row>
    <row r="14">
      <c r="B14" s="4" t="inlineStr">
        <is>
          <t>Memo: current share price</t>
        </is>
      </c>
      <c r="C14" s="65">
        <f>Cover_Price</f>
        <v/>
      </c>
    </row>
    <row r="15" ht="56" customHeight="1">
      <c r="B15" s="6" t="inlineStr">
        <is>
          <t>The spread across this grid is enormous, and that is the honest finding rather than an embarrassment: at a ~10.5% WACC the value of a business still growing faster than GDP is dominated by what you assume happens after year five. Use the grid to find the corner of the table the market is standing in — which the reverse DCF on the DCF &amp; WACC tab locates precisely — rather than to defend a single point estimate.</t>
        </is>
      </c>
    </row>
  </sheetData>
  <mergeCells count="3">
    <mergeCell ref="B3:I3"/>
    <mergeCell ref="A2:H2"/>
    <mergeCell ref="B15:I15"/>
  </mergeCells>
  <conditionalFormatting sqref="C6:H11">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K3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3" customWidth="1" min="3" max="3"/>
    <col width="13" customWidth="1" min="4" max="4"/>
    <col width="11" customWidth="1" min="5" max="5"/>
    <col width="11" customWidth="1" min="6" max="6"/>
    <col width="11" customWidth="1" min="7" max="7"/>
    <col width="11" customWidth="1" min="8" max="8"/>
    <col width="12" customWidth="1" min="9" max="9"/>
    <col width="3" customWidth="1" min="10" max="10"/>
    <col width="44" customWidth="1" min="11" max="11"/>
  </cols>
  <sheetData>
    <row r="2" ht="20" customHeight="1">
      <c r="A2" s="7" t="inlineStr">
        <is>
          <t>PEER MULTIPLES — all observed the same day (28 Aug 2026)</t>
        </is>
      </c>
    </row>
    <row r="3" ht="46" customHeight="1">
      <c r="B3" s="6" t="inlineStr">
        <is>
          <t>Every multiple in the table below comes from ONE source (stockanalysis.com) read on 28 Aug 2026, deliberately, so the peer set is internally consistent — mixing providers is the fastest way to build a comps table where the subject company looks cheap because its denominator was measured over a different period. Adobe's own row is cross-checked independently against SEC filings in the block below the table, and the two agree to within ~2%.</t>
        </is>
      </c>
    </row>
    <row r="5" ht="30" customHeight="1">
      <c r="B5" s="66" t="inlineStr">
        <is>
          <t>Company</t>
        </is>
      </c>
      <c r="C5" s="66" t="inlineStr">
        <is>
          <t>Ticker</t>
        </is>
      </c>
      <c r="D5" s="66" t="inlineStr">
        <is>
          <t>Market cap ($mm)</t>
        </is>
      </c>
      <c r="E5" s="66" t="inlineStr">
        <is>
          <t>EV ($mm)</t>
        </is>
      </c>
      <c r="F5" s="66" t="inlineStr">
        <is>
          <t>Trailing P/E</t>
        </is>
      </c>
      <c r="G5" s="66" t="inlineStr">
        <is>
          <t>Forward P/E</t>
        </is>
      </c>
      <c r="H5" s="66" t="inlineStr">
        <is>
          <t>EV/Sales</t>
        </is>
      </c>
      <c r="I5" s="66" t="inlineStr">
        <is>
          <t>EV/EBITDA</t>
        </is>
      </c>
      <c r="J5" s="66" t="inlineStr">
        <is>
          <t>Op. margin</t>
        </is>
      </c>
    </row>
    <row r="6">
      <c r="B6" s="67" t="inlineStr">
        <is>
          <t>Adobe</t>
        </is>
      </c>
      <c r="C6" s="67" t="inlineStr">
        <is>
          <t>ADBE</t>
        </is>
      </c>
      <c r="D6" s="68" t="n">
        <v>115880</v>
      </c>
      <c r="E6" s="68" t="n">
        <v>117330</v>
      </c>
      <c r="F6" s="69" t="n">
        <v>16.54</v>
      </c>
      <c r="G6" s="69" t="n">
        <v>11.15</v>
      </c>
      <c r="H6" s="69" t="n">
        <v>4.66</v>
      </c>
      <c r="I6" s="69" t="n">
        <v>12.08</v>
      </c>
      <c r="J6" s="70" t="n">
        <v>0.3663</v>
      </c>
      <c r="K6" s="3" t="inlineStr">
        <is>
          <t>Subject company</t>
        </is>
      </c>
    </row>
    <row r="7">
      <c r="B7" s="28" t="inlineStr">
        <is>
          <t>Autodesk</t>
        </is>
      </c>
      <c r="C7" s="28" t="inlineStr">
        <is>
          <t>ADSK</t>
        </is>
      </c>
      <c r="D7" s="71" t="n">
        <v>55040</v>
      </c>
      <c r="E7" s="71" t="n">
        <v>54390</v>
      </c>
      <c r="F7" s="72" t="n">
        <v>33.78</v>
      </c>
      <c r="G7" s="72" t="n">
        <v>20.04</v>
      </c>
      <c r="H7" s="72" t="n">
        <v>6.88</v>
      </c>
      <c r="I7" s="72" t="n">
        <v>23.36</v>
      </c>
      <c r="J7" s="73" t="n">
        <v>0.281</v>
      </c>
      <c r="K7" s="3" t="inlineStr">
        <is>
          <t>true comp</t>
        </is>
      </c>
    </row>
    <row r="8">
      <c r="B8" s="28" t="inlineStr">
        <is>
          <t>Intuit</t>
        </is>
      </c>
      <c r="C8" s="28" t="inlineStr">
        <is>
          <t>INTU</t>
        </is>
      </c>
      <c r="D8" s="71" t="n">
        <v>97940</v>
      </c>
      <c r="E8" s="71" t="n">
        <v>99080</v>
      </c>
      <c r="F8" s="72" t="n">
        <v>21.14</v>
      </c>
      <c r="G8" s="72" t="n">
        <v>14.3</v>
      </c>
      <c r="H8" s="72" t="n">
        <v>4.56</v>
      </c>
      <c r="I8" s="72" t="n">
        <v>14.29</v>
      </c>
      <c r="J8" s="73" t="n">
        <v>0.288</v>
      </c>
      <c r="K8" s="3" t="inlineStr">
        <is>
          <t>true comp</t>
        </is>
      </c>
    </row>
    <row r="9">
      <c r="B9" s="28" t="inlineStr">
        <is>
          <t>Salesforce</t>
        </is>
      </c>
      <c r="C9" s="28" t="inlineStr">
        <is>
          <t>CRM</t>
        </is>
      </c>
      <c r="D9" s="71" t="n">
        <v>210690</v>
      </c>
      <c r="E9" s="71" t="n">
        <v>241660</v>
      </c>
      <c r="F9" s="72" t="n">
        <v>23.36</v>
      </c>
      <c r="G9" s="72" t="n">
        <v>17.28</v>
      </c>
      <c r="H9" s="72" t="n">
        <v>5.52</v>
      </c>
      <c r="I9" s="72" t="n">
        <v>18.81</v>
      </c>
      <c r="J9" s="73" t="n">
        <v>0.2152</v>
      </c>
      <c r="K9" s="3" t="inlineStr">
        <is>
          <t>true comp</t>
        </is>
      </c>
    </row>
    <row r="10">
      <c r="B10" s="28" t="inlineStr">
        <is>
          <t>PTC</t>
        </is>
      </c>
      <c r="C10" s="28" t="inlineStr">
        <is>
          <t>PTC</t>
        </is>
      </c>
      <c r="D10" s="71" t="n">
        <v>17050</v>
      </c>
      <c r="E10" s="71" t="n">
        <v>18310</v>
      </c>
      <c r="F10" s="72" t="n">
        <v>15.4</v>
      </c>
      <c r="G10" s="72" t="n">
        <v>18.92</v>
      </c>
      <c r="H10" s="72" t="n">
        <v>6.2</v>
      </c>
      <c r="I10" s="72" t="n">
        <v>14.35</v>
      </c>
      <c r="J10" s="73" t="n">
        <v>0.3981</v>
      </c>
      <c r="K10" s="3" t="inlineStr">
        <is>
          <t>true comp</t>
        </is>
      </c>
    </row>
    <row r="11">
      <c r="B11" s="28" t="inlineStr">
        <is>
          <t>ServiceNow</t>
        </is>
      </c>
      <c r="C11" s="28" t="inlineStr">
        <is>
          <t>NOW</t>
        </is>
      </c>
      <c r="D11" s="71" t="n">
        <v>149610</v>
      </c>
      <c r="E11" s="71" t="n">
        <v>151360</v>
      </c>
      <c r="F11" s="72" t="n">
        <v>86.48999999999999</v>
      </c>
      <c r="G11" s="72" t="n">
        <v>30.55</v>
      </c>
      <c r="H11" s="72" t="n">
        <v>10.28</v>
      </c>
      <c r="I11" s="72" t="n">
        <v>52.27</v>
      </c>
      <c r="J11" s="73" t="n">
        <v>0.1239</v>
      </c>
      <c r="K11" s="3" t="inlineStr">
        <is>
          <t>true comp</t>
        </is>
      </c>
    </row>
    <row r="12">
      <c r="B12" s="28" t="inlineStr">
        <is>
          <t>Workday</t>
        </is>
      </c>
      <c r="C12" s="28" t="inlineStr">
        <is>
          <t>WDAY</t>
        </is>
      </c>
      <c r="D12" s="71" t="n">
        <v>49340</v>
      </c>
      <c r="E12" s="71" t="n">
        <v>49710</v>
      </c>
      <c r="F12" s="72" t="n">
        <v>42.17</v>
      </c>
      <c r="G12" s="72" t="n">
        <v>17.05</v>
      </c>
      <c r="H12" s="72" t="n">
        <v>4.9</v>
      </c>
      <c r="I12" s="72" t="n">
        <v>31.37</v>
      </c>
      <c r="J12" s="73" t="n">
        <v>0.1202</v>
      </c>
      <c r="K12" s="3" t="inlineStr">
        <is>
          <t>true comp</t>
        </is>
      </c>
    </row>
    <row r="13">
      <c r="B13" s="28" t="inlineStr">
        <is>
          <t>Microsoft</t>
        </is>
      </c>
      <c r="C13" s="28" t="inlineStr">
        <is>
          <t>MSFT</t>
        </is>
      </c>
      <c r="D13" s="71" t="n">
        <v>3810000</v>
      </c>
      <c r="E13" s="71" t="n">
        <v>3870000</v>
      </c>
      <c r="F13" s="72" t="n">
        <v>28.14</v>
      </c>
      <c r="G13" s="72" t="n">
        <v>25.57</v>
      </c>
      <c r="H13" s="72" t="n">
        <v>11.69</v>
      </c>
      <c r="I13" s="72" t="n">
        <v>19.97</v>
      </c>
      <c r="J13" s="73" t="n">
        <v>0.4678</v>
      </c>
      <c r="K13" s="3" t="inlineStr">
        <is>
          <t>reference only</t>
        </is>
      </c>
    </row>
    <row r="15">
      <c r="B15" s="4" t="inlineStr">
        <is>
          <t>Peer median (excl. Adobe and Microsoft)</t>
        </is>
      </c>
      <c r="F15" s="74">
        <f>MEDIAN(F7:F12)</f>
        <v/>
      </c>
      <c r="G15" s="74">
        <f>MEDIAN(G7:G12)</f>
        <v/>
      </c>
      <c r="H15" s="74">
        <f>MEDIAN(H7:H12)</f>
        <v/>
      </c>
      <c r="I15" s="74">
        <f>MEDIAN(I7:I12)</f>
        <v/>
      </c>
    </row>
    <row r="16">
      <c r="B16" s="4" t="inlineStr">
        <is>
          <t>Adobe premium / (discount) to peer median</t>
        </is>
      </c>
      <c r="F16" s="75">
        <f>IFERROR(F6/F15-1,"n/m")</f>
        <v/>
      </c>
      <c r="G16" s="75">
        <f>IFERROR(G6/G15-1,"n/m")</f>
        <v/>
      </c>
      <c r="H16" s="75">
        <f>IFERROR(H6/H15-1,"n/m")</f>
        <v/>
      </c>
      <c r="I16" s="75">
        <f>IFERROR(I6/I15-1,"n/m")</f>
        <v/>
      </c>
    </row>
    <row r="18">
      <c r="B18" s="4" t="inlineStr">
        <is>
          <t>IMPLIED ADBE PRICE AT THE PEER MEDIAN FORWARD P/E</t>
        </is>
      </c>
    </row>
    <row r="19">
      <c r="B19" s="8" t="inlineStr">
        <is>
          <t>FY2026E non-GAAP EPS (company guidance midpoint)</t>
        </is>
      </c>
      <c r="D19" s="40" t="n">
        <v>24.4</v>
      </c>
      <c r="K19" s="6" t="inlineStr">
        <is>
          <t>Company guidance of $24.35-24.45, raised 11 Jun 2026. Street consensus is $24.41.</t>
        </is>
      </c>
    </row>
    <row r="20">
      <c r="B20" s="8" t="inlineStr">
        <is>
          <t>Peer median forward P/E</t>
        </is>
      </c>
      <c r="D20" s="57">
        <f>G15</f>
        <v/>
      </c>
    </row>
    <row r="21">
      <c r="B21" s="4" t="inlineStr">
        <is>
          <t>Implied ADBE share price at the peer median</t>
        </is>
      </c>
      <c r="D21" s="76">
        <f>D19*D20</f>
        <v/>
      </c>
    </row>
    <row r="22">
      <c r="B22" s="4" t="inlineStr">
        <is>
          <t>Upside / (downside) vs. current price</t>
        </is>
      </c>
      <c r="D22" s="75">
        <f>IFERROR(D21/Cover_Price-1,"n/m")</f>
        <v/>
      </c>
    </row>
    <row r="24" ht="20" customHeight="1">
      <c r="A24" s="7" t="inlineStr">
        <is>
          <t>INDEPENDENT CROSS-CHECK OF ADOBE'S OWN MULTIPLES, BUILT FROM SEC FILINGS</t>
        </is>
      </c>
    </row>
    <row r="25">
      <c r="B25" s="8" t="inlineStr">
        <is>
          <t>TTM revenue ($mm) = FY2025 + H1 FY26 - H1 FY25</t>
        </is>
      </c>
      <c r="D25" s="26" t="n">
        <v>25198</v>
      </c>
      <c r="K25" s="6" t="inlineStr">
        <is>
          <t>23,769 + 13,016 - 11,587, all per 10-K/10-Q</t>
        </is>
      </c>
    </row>
    <row r="26">
      <c r="B26" s="8" t="inlineStr">
        <is>
          <t>TTM EBIT ($mm)</t>
        </is>
      </c>
      <c r="D26" s="26" t="n">
        <v>9090</v>
      </c>
      <c r="K26" s="6" t="inlineStr">
        <is>
          <t>8,706 + 4,656 - 4,272</t>
        </is>
      </c>
    </row>
    <row r="27">
      <c r="B27" s="8" t="inlineStr">
        <is>
          <t>TTM D&amp;A ($mm)</t>
        </is>
      </c>
      <c r="D27" s="26" t="n">
        <v>788</v>
      </c>
      <c r="K27" s="6" t="inlineStr">
        <is>
          <t>818 + 367 - 397 (cash-flow statement D&amp;A)</t>
        </is>
      </c>
    </row>
    <row r="28">
      <c r="B28" s="8" t="inlineStr">
        <is>
          <t>TTM EBITDA ($mm)</t>
        </is>
      </c>
      <c r="D28" s="30">
        <f>D26+D27</f>
        <v/>
      </c>
      <c r="K28" s="6" t="inlineStr">
        <is>
          <t>Formula</t>
        </is>
      </c>
    </row>
    <row r="29">
      <c r="B29" s="8" t="inlineStr">
        <is>
          <t>Enterprise value ($mm)</t>
        </is>
      </c>
      <c r="D29" s="30">
        <f>Cover_MktCap+Cover_Debt-Cover_Cash</f>
        <v/>
      </c>
      <c r="K29" s="6" t="inlineStr">
        <is>
          <t>Cover tab: market cap + debt - cash</t>
        </is>
      </c>
    </row>
    <row r="30">
      <c r="B30" s="8" t="inlineStr">
        <is>
          <t>EV / TTM sales</t>
        </is>
      </c>
      <c r="D30" s="74">
        <f>D29/D25</f>
        <v/>
      </c>
      <c r="K30" s="6" t="inlineStr">
        <is>
          <t>Cross-check vs stockanalysis.com 4.66x</t>
        </is>
      </c>
    </row>
    <row r="31">
      <c r="B31" s="8" t="inlineStr">
        <is>
          <t>EV / TTM EBITDA</t>
        </is>
      </c>
      <c r="D31" s="74">
        <f>D29/D28</f>
        <v/>
      </c>
      <c r="K31" s="6" t="inlineStr">
        <is>
          <t>Cross-check vs stockanalysis.com 12.08x</t>
        </is>
      </c>
    </row>
    <row r="32">
      <c r="B32" s="8" t="inlineStr">
        <is>
          <t>Price / FY2026E non-GAAP EPS</t>
        </is>
      </c>
      <c r="D32" s="74">
        <f>Cover_Price/D19</f>
        <v/>
      </c>
      <c r="K32" s="6" t="inlineStr">
        <is>
          <t>Cross-check vs stockanalysis.com forward P/E of 11.15x</t>
        </is>
      </c>
    </row>
    <row r="34" ht="88" customHeight="1">
      <c r="B34" s="6" t="inlineStr">
        <is>
          <t>WHICH OF THESE ARE REAL COMPS. Autodesk and PTC are the closest structural analogues — subscription design software with a professional installed base facing the same generative-AI question. Intuit is a good comparison for the freemium-to-paid funnel Adobe is now attempting, and its own 46% twelve-month decline shows the market applying the identical AI-disruption discount elsewhere. Salesforce, ServiceNow and Workday are enterprise-workflow businesses, relevant to Adobe's Digital Experience half but not to Creative Cloud. Microsoft is REFERENCE ONLY: it is 33x Adobe's size and is on the other side of the AI trade. Note that ServiceNow's and Workday's EV/EBITDA are inflated by heavy stock-based compensation running through GAAP EBITDA — Adobe expenses $1.9bn of SBC too, but it is a far smaller share of its EBITDA, so a naive EV/EBITDA comparison flatters the high-SBC names.</t>
        </is>
      </c>
    </row>
  </sheetData>
  <mergeCells count="4">
    <mergeCell ref="B34:K34"/>
    <mergeCell ref="A24:I24"/>
    <mergeCell ref="A2:I2"/>
    <mergeCell ref="B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F72"/>
  <sheetViews>
    <sheetView showGridLines="0" workbookViewId="0">
      <selection activeCell="A1" sqref="A1"/>
    </sheetView>
  </sheetViews>
  <sheetFormatPr baseColWidth="8" defaultRowHeight="15"/>
  <cols>
    <col width="2" customWidth="1" min="1" max="1"/>
    <col width="40" customWidth="1" min="2" max="2"/>
    <col width="16" customWidth="1" min="3" max="3"/>
    <col width="16" customWidth="1" min="4" max="4"/>
    <col width="3" customWidth="1" min="5" max="5"/>
    <col width="66" customWidth="1" min="6" max="6"/>
  </cols>
  <sheetData>
    <row r="2" ht="20" customHeight="1">
      <c r="A2" s="7" t="inlineStr">
        <is>
          <t>PRICE, TREND, VOLATILITY &amp; POSITIONING</t>
        </is>
      </c>
    </row>
    <row r="3" ht="46" customHeight="1">
      <c r="B3" s="6" t="inlineStr">
        <is>
          <t>Moving averages, RSI, realised volatility and relative performance below were computed directly from the Yahoo Finance daily close series (2 years to 28 Aug 2026), NOT copied from a chart site — several chart sites disagreed materially with each other on Adobe's moving averages during this research, which is exactly why they are recomputed here.</t>
        </is>
      </c>
    </row>
    <row r="5">
      <c r="B5" s="8" t="inlineStr">
        <is>
          <t>Last price</t>
        </is>
      </c>
      <c r="C5" s="31" t="n">
        <v>291.52</v>
      </c>
      <c r="F5" s="6" t="inlineStr">
        <is>
          <t>Yahoo Finance close, 28 Aug 2026 20:00 UTC</t>
        </is>
      </c>
    </row>
    <row r="6">
      <c r="B6" s="8" t="inlineStr">
        <is>
          <t>20-day simple moving average</t>
        </is>
      </c>
      <c r="C6" s="31" t="n">
        <v>268.25</v>
      </c>
      <c r="F6" s="6" t="inlineStr">
        <is>
          <t>Computed from the daily close series</t>
        </is>
      </c>
    </row>
    <row r="7">
      <c r="B7" s="8" t="inlineStr">
        <is>
          <t>50-day simple moving average</t>
        </is>
      </c>
      <c r="C7" s="31" t="n">
        <v>240.18</v>
      </c>
      <c r="F7" s="6" t="inlineStr">
        <is>
          <t>Computed. Cross-check: stockanalysis.com $240.18 (same day) — agrees exactly</t>
        </is>
      </c>
    </row>
    <row r="8">
      <c r="B8" s="8" t="inlineStr">
        <is>
          <t>100-day simple moving average</t>
        </is>
      </c>
      <c r="C8" s="31" t="n">
        <v>241.36</v>
      </c>
      <c r="F8" s="6" t="inlineStr">
        <is>
          <t>Computed</t>
        </is>
      </c>
    </row>
    <row r="9">
      <c r="B9" s="8" t="inlineStr">
        <is>
          <t>200-day simple moving average</t>
        </is>
      </c>
      <c r="C9" s="31" t="n">
        <v>269.18</v>
      </c>
      <c r="F9" s="6" t="inlineStr">
        <is>
          <t>Computed. Cross-check: stockanalysis.com $269.18 — agrees exactly</t>
        </is>
      </c>
    </row>
    <row r="10">
      <c r="B10" s="8" t="inlineStr">
        <is>
          <t>Price vs. 50-day MA</t>
        </is>
      </c>
      <c r="C10" s="29">
        <f>C5/C7-1</f>
        <v/>
      </c>
      <c r="F10" s="6" t="inlineStr">
        <is>
          <t>Formula</t>
        </is>
      </c>
    </row>
    <row r="11">
      <c r="B11" s="8" t="inlineStr">
        <is>
          <t>Price vs. 200-day MA</t>
        </is>
      </c>
      <c r="C11" s="29">
        <f>C5/C9-1</f>
        <v/>
      </c>
      <c r="F11" s="6" t="inlineStr">
        <is>
          <t>Formula</t>
        </is>
      </c>
    </row>
    <row r="12">
      <c r="B12" s="8" t="inlineStr">
        <is>
          <t>RSI (14-day, Wilder)</t>
        </is>
      </c>
      <c r="C12" s="77" t="n">
        <v>60.8</v>
      </c>
      <c r="F12" s="6" t="inlineStr">
        <is>
          <t>Computed. Approaching but not at the conventional 70 overbought threshold</t>
        </is>
      </c>
    </row>
    <row r="13">
      <c r="B13" s="8" t="inlineStr">
        <is>
          <t>52-week high (intraday) / date</t>
        </is>
      </c>
      <c r="C13" s="78" t="inlineStr">
        <is>
          <t>$370.86</t>
        </is>
      </c>
      <c r="F13" s="6" t="inlineStr">
        <is>
          <t>Yahoo Finance. Closing-basis high $367.46 on 18 Sep 2025</t>
        </is>
      </c>
    </row>
    <row r="14">
      <c r="B14" s="8" t="inlineStr">
        <is>
          <t>52-week low (intraday) / date</t>
        </is>
      </c>
      <c r="C14" s="78" t="inlineStr">
        <is>
          <t>$190.12</t>
        </is>
      </c>
      <c r="F14" s="6" t="inlineStr">
        <is>
          <t>Yahoo Finance. Closing-basis low $193.41 on 25 Jun 2026, two weeks after the Q2 FY26 print</t>
        </is>
      </c>
    </row>
    <row r="15">
      <c r="B15" s="8" t="inlineStr">
        <is>
          <t>Gain from the 52-week closing low</t>
        </is>
      </c>
      <c r="C15" s="34" t="n">
        <v>0.507</v>
      </c>
      <c r="F15" s="6" t="inlineStr">
        <is>
          <t>Computed: $193.41 to $291.52</t>
        </is>
      </c>
    </row>
    <row r="16">
      <c r="B16" s="8" t="inlineStr">
        <is>
          <t>Drawdown from the 52-week closing high</t>
        </is>
      </c>
      <c r="C16" s="34" t="n">
        <v>-0.207</v>
      </c>
      <c r="F16" s="6" t="inlineStr">
        <is>
          <t>Computed</t>
        </is>
      </c>
    </row>
    <row r="17">
      <c r="B17" s="8" t="inlineStr">
        <is>
          <t>Realised volatility, 30-day annualised</t>
        </is>
      </c>
      <c r="C17" s="39" t="n">
        <v>0.51</v>
      </c>
      <c r="F17" s="6" t="inlineStr">
        <is>
          <t>Computed from log returns</t>
        </is>
      </c>
    </row>
    <row r="18">
      <c r="B18" s="8" t="inlineStr">
        <is>
          <t>Realised volatility, 90-day annualised</t>
        </is>
      </c>
      <c r="C18" s="39" t="n">
        <v>0.488</v>
      </c>
      <c r="F18" s="6" t="inlineStr">
        <is>
          <t>Computed</t>
        </is>
      </c>
    </row>
    <row r="19">
      <c r="B19" s="8" t="inlineStr">
        <is>
          <t>Realised volatility, 1-year annualised</t>
        </is>
      </c>
      <c r="C19" s="39" t="n">
        <v>0.395</v>
      </c>
      <c r="F19" s="6" t="inlineStr">
        <is>
          <t>Computed</t>
        </is>
      </c>
    </row>
    <row r="20">
      <c r="B20" s="8" t="inlineStr">
        <is>
          <t>30-day implied volatility (approx.)</t>
        </is>
      </c>
      <c r="C20" s="39" t="n">
        <v>0.49</v>
      </c>
      <c r="F20" s="6" t="inlineStr">
        <is>
          <t>SECONDARY SOURCE, July 2026 observation via GuruFocus — NOT same-day and NOT independently verified. Directionally consistent with the 51% 30-day realised figure above.</t>
        </is>
      </c>
    </row>
    <row r="21">
      <c r="B21" s="8" t="inlineStr">
        <is>
          <t>Put/call ratio</t>
        </is>
      </c>
      <c r="C21" s="79" t="n">
        <v>0.54</v>
      </c>
      <c r="F21" s="6" t="inlineStr">
        <is>
          <t>SECONDARY SOURCE, July 2026 observation via GuruFocus, vs a stated 0.62 norm. Stale — verify before use.</t>
        </is>
      </c>
    </row>
    <row r="22">
      <c r="B22" s="8" t="inlineStr">
        <is>
          <t>Average daily volume, 30 days (mm sh)</t>
        </is>
      </c>
      <c r="C22" s="33" t="n">
        <v>4.8</v>
      </c>
      <c r="F22" s="6" t="inlineStr">
        <is>
          <t>Computed</t>
        </is>
      </c>
    </row>
    <row r="23">
      <c r="B23" s="8" t="inlineStr">
        <is>
          <t>Average daily volume, 90 days (mm sh)</t>
        </is>
      </c>
      <c r="C23" s="33" t="n">
        <v>5.9</v>
      </c>
      <c r="F23" s="6" t="inlineStr">
        <is>
          <t>Computed</t>
        </is>
      </c>
    </row>
    <row r="24">
      <c r="B24" s="8" t="inlineStr">
        <is>
          <t>Short interest (mm shares)</t>
        </is>
      </c>
      <c r="C24" s="33" t="n">
        <v>17.97</v>
      </c>
      <c r="F24" s="6" t="inlineStr">
        <is>
          <t>stockanalysis.com, 28 Aug 2026</t>
        </is>
      </c>
    </row>
    <row r="25">
      <c r="B25" s="8" t="inlineStr">
        <is>
          <t>Short interest, % of float</t>
        </is>
      </c>
      <c r="C25" s="34" t="n">
        <v>0.0454</v>
      </c>
      <c r="F25" s="6" t="inlineStr">
        <is>
          <t>stockanalysis.com. Conflicts with a January 2026 reading of 12.37mm shares / 2.96% — short interest has ROUGHLY DOUBLED over 2026</t>
        </is>
      </c>
    </row>
    <row r="26">
      <c r="B26" s="8" t="inlineStr">
        <is>
          <t>Institutional ownership</t>
        </is>
      </c>
      <c r="C26" s="34" t="n">
        <v>0.9016</v>
      </c>
      <c r="F26" s="6" t="inlineStr">
        <is>
          <t>GuruFocus, 13 Jun 2026</t>
        </is>
      </c>
    </row>
    <row r="27">
      <c r="B27" s="8" t="inlineStr">
        <is>
          <t>Beta (5-year)</t>
        </is>
      </c>
      <c r="C27" s="79" t="n">
        <v>1.4</v>
      </c>
      <c r="F27" s="6" t="inlineStr">
        <is>
          <t>stockanalysis.com, 28 Aug 2026</t>
        </is>
      </c>
    </row>
    <row r="29" ht="20" customHeight="1">
      <c r="A29" s="7" t="inlineStr">
        <is>
          <t>RELATIVE PERFORMANCE (computed from daily closes, to 28 Aug 2026)</t>
        </is>
      </c>
    </row>
    <row r="30">
      <c r="B30" s="80" t="inlineStr">
        <is>
          <t>Instrument</t>
        </is>
      </c>
      <c r="C30" s="21" t="inlineStr">
        <is>
          <t>YTD 2026</t>
        </is>
      </c>
      <c r="D30" s="21" t="inlineStr">
        <is>
          <t>Trailing 1 year</t>
        </is>
      </c>
    </row>
    <row r="31">
      <c r="B31" s="4" t="inlineStr">
        <is>
          <t>Adobe (ADBE)</t>
        </is>
      </c>
      <c r="C31" s="52" t="n">
        <v>-0.167</v>
      </c>
      <c r="D31" s="52" t="n">
        <v>-0.182</v>
      </c>
    </row>
    <row r="32">
      <c r="B32" s="8" t="inlineStr">
        <is>
          <t>S&amp;P 500</t>
        </is>
      </c>
      <c r="C32" s="29" t="n">
        <v>0.127</v>
      </c>
      <c r="D32" s="29" t="n">
        <v>0.19</v>
      </c>
    </row>
    <row r="33">
      <c r="B33" s="8" t="inlineStr">
        <is>
          <t>Nasdaq-100</t>
        </is>
      </c>
      <c r="C33" s="29" t="n">
        <v>0.166</v>
      </c>
      <c r="D33" s="29" t="n">
        <v>0.249</v>
      </c>
    </row>
    <row r="34">
      <c r="B34" s="8" t="inlineStr">
        <is>
          <t>iShares Expanded Tech-Software (IGV)</t>
        </is>
      </c>
      <c r="C34" s="29" t="n">
        <v>0.036</v>
      </c>
      <c r="D34" s="29" t="n">
        <v>0.019</v>
      </c>
    </row>
    <row r="35">
      <c r="B35" s="8" t="inlineStr">
        <is>
          <t>Salesforce (CRM)</t>
        </is>
      </c>
      <c r="C35" s="29" t="n">
        <v>-0.034</v>
      </c>
      <c r="D35" s="29" t="n">
        <v>0.023</v>
      </c>
    </row>
    <row r="36">
      <c r="B36" s="8" t="inlineStr">
        <is>
          <t>Intuit (INTU)</t>
        </is>
      </c>
      <c r="C36" s="29" t="n">
        <v>-0.459</v>
      </c>
      <c r="D36" s="29" t="n">
        <v>-0.46</v>
      </c>
    </row>
    <row r="37">
      <c r="B37" s="8" t="inlineStr">
        <is>
          <t>Autodesk (ADSK)</t>
        </is>
      </c>
      <c r="C37" s="29" t="n">
        <v>-0.119</v>
      </c>
      <c r="D37" s="29" t="n">
        <v>-0.08799999999999999</v>
      </c>
    </row>
    <row r="38">
      <c r="B38" s="8" t="inlineStr">
        <is>
          <t>ServiceNow (NOW)</t>
        </is>
      </c>
      <c r="C38" s="29" t="n">
        <v>-0.055</v>
      </c>
      <c r="D38" s="29" t="n">
        <v>-0.185</v>
      </c>
    </row>
    <row r="39">
      <c r="B39" s="8" t="inlineStr">
        <is>
          <t>Oracle (ORCL)</t>
        </is>
      </c>
      <c r="C39" s="29" t="n">
        <v>-0.226</v>
      </c>
      <c r="D39" s="29" t="n">
        <v>-0.36</v>
      </c>
    </row>
    <row r="40">
      <c r="B40" s="8" t="inlineStr">
        <is>
          <t>Microsoft (MSFT)</t>
        </is>
      </c>
      <c r="C40" s="29" t="n">
        <v>0.062</v>
      </c>
      <c r="D40" s="29" t="n">
        <v>0.013</v>
      </c>
    </row>
    <row r="42" ht="62" customHeight="1">
      <c r="B42" s="6" t="inlineStr">
        <is>
          <t>Adobe has underperformed the index badly (-16.7% YTD against +12.7% for the S&amp;P 500) but is NOT an idiosyncratic casualty: the whole application-software complex has de-rated, with Intuit down 46% and Oracle down 36% over twelve months while the Nasdaq-100 rose 25%. The market is not selling Adobe, it is selling seat-based software subscriptions in an AI world. That matters for the thesis, because it means the re-rating case does not depend on Adobe alone being right — but it also means a company-specific beat is unlikely to be enough on its own.</t>
        </is>
      </c>
    </row>
    <row r="44" ht="20" customHeight="1">
      <c r="A44" s="7" t="inlineStr">
        <is>
          <t>MONTHLY CLOSING PRICE — 24 MONTHS</t>
        </is>
      </c>
    </row>
    <row r="45">
      <c r="B45" s="80" t="inlineStr">
        <is>
          <t>Month</t>
        </is>
      </c>
      <c r="C45" s="21" t="inlineStr">
        <is>
          <t>ADBE close</t>
        </is>
      </c>
    </row>
    <row r="46">
      <c r="B46" s="28" t="inlineStr">
        <is>
          <t>2024-08</t>
        </is>
      </c>
      <c r="C46" s="31" t="n">
        <v>574.41</v>
      </c>
    </row>
    <row r="47">
      <c r="B47" s="28" t="inlineStr">
        <is>
          <t>2024-09</t>
        </is>
      </c>
      <c r="C47" s="31" t="n">
        <v>517.78</v>
      </c>
    </row>
    <row r="48">
      <c r="B48" s="28" t="inlineStr">
        <is>
          <t>2024-10</t>
        </is>
      </c>
      <c r="C48" s="31" t="n">
        <v>478.08</v>
      </c>
    </row>
    <row r="49">
      <c r="B49" s="28" t="inlineStr">
        <is>
          <t>2024-11</t>
        </is>
      </c>
      <c r="C49" s="31" t="n">
        <v>515.9299999999999</v>
      </c>
    </row>
    <row r="50">
      <c r="B50" s="28" t="inlineStr">
        <is>
          <t>2024-12</t>
        </is>
      </c>
      <c r="C50" s="31" t="n">
        <v>444.68</v>
      </c>
    </row>
    <row r="51">
      <c r="B51" s="28" t="inlineStr">
        <is>
          <t>2025-01</t>
        </is>
      </c>
      <c r="C51" s="31" t="n">
        <v>437.45</v>
      </c>
    </row>
    <row r="52">
      <c r="B52" s="28" t="inlineStr">
        <is>
          <t>2025-02</t>
        </is>
      </c>
      <c r="C52" s="31" t="n">
        <v>438.56</v>
      </c>
    </row>
    <row r="53">
      <c r="B53" s="28" t="inlineStr">
        <is>
          <t>2025-03</t>
        </is>
      </c>
      <c r="C53" s="31" t="n">
        <v>383.53</v>
      </c>
    </row>
    <row r="54">
      <c r="B54" s="28" t="inlineStr">
        <is>
          <t>2025-04</t>
        </is>
      </c>
      <c r="C54" s="31" t="n">
        <v>374.98</v>
      </c>
    </row>
    <row r="55">
      <c r="B55" s="28" t="inlineStr">
        <is>
          <t>2025-05</t>
        </is>
      </c>
      <c r="C55" s="31" t="n">
        <v>415.09</v>
      </c>
    </row>
    <row r="56">
      <c r="B56" s="28" t="inlineStr">
        <is>
          <t>2025-06</t>
        </is>
      </c>
      <c r="C56" s="31" t="n">
        <v>386.88</v>
      </c>
    </row>
    <row r="57">
      <c r="B57" s="28" t="inlineStr">
        <is>
          <t>2025-07</t>
        </is>
      </c>
      <c r="C57" s="31" t="n">
        <v>357.69</v>
      </c>
    </row>
    <row r="58">
      <c r="B58" s="28" t="inlineStr">
        <is>
          <t>2025-08</t>
        </is>
      </c>
      <c r="C58" s="31" t="n">
        <v>356.7</v>
      </c>
    </row>
    <row r="59">
      <c r="B59" s="28" t="inlineStr">
        <is>
          <t>2025-09</t>
        </is>
      </c>
      <c r="C59" s="31" t="n">
        <v>352.75</v>
      </c>
    </row>
    <row r="60">
      <c r="B60" s="28" t="inlineStr">
        <is>
          <t>2025-10</t>
        </is>
      </c>
      <c r="C60" s="31" t="n">
        <v>340.31</v>
      </c>
    </row>
    <row r="61">
      <c r="B61" s="28" t="inlineStr">
        <is>
          <t>2025-11</t>
        </is>
      </c>
      <c r="C61" s="31" t="n">
        <v>320.13</v>
      </c>
    </row>
    <row r="62">
      <c r="B62" s="28" t="inlineStr">
        <is>
          <t>2025-12</t>
        </is>
      </c>
      <c r="C62" s="31" t="n">
        <v>349.99</v>
      </c>
    </row>
    <row r="63">
      <c r="B63" s="28" t="inlineStr">
        <is>
          <t>2026-01</t>
        </is>
      </c>
      <c r="C63" s="31" t="n">
        <v>293.25</v>
      </c>
    </row>
    <row r="64">
      <c r="B64" s="28" t="inlineStr">
        <is>
          <t>2026-02</t>
        </is>
      </c>
      <c r="C64" s="31" t="n">
        <v>262.41</v>
      </c>
    </row>
    <row r="65">
      <c r="B65" s="28" t="inlineStr">
        <is>
          <t>2026-03</t>
        </is>
      </c>
      <c r="C65" s="31" t="n">
        <v>243.08</v>
      </c>
    </row>
    <row r="66">
      <c r="B66" s="28" t="inlineStr">
        <is>
          <t>2026-04</t>
        </is>
      </c>
      <c r="C66" s="31" t="n">
        <v>246.1</v>
      </c>
    </row>
    <row r="67">
      <c r="B67" s="28" t="inlineStr">
        <is>
          <t>2026-05</t>
        </is>
      </c>
      <c r="C67" s="31" t="n">
        <v>259.21</v>
      </c>
    </row>
    <row r="68">
      <c r="B68" s="28" t="inlineStr">
        <is>
          <t>2026-06</t>
        </is>
      </c>
      <c r="C68" s="31" t="n">
        <v>205.02</v>
      </c>
    </row>
    <row r="69">
      <c r="B69" s="28" t="inlineStr">
        <is>
          <t>2026-07</t>
        </is>
      </c>
      <c r="C69" s="31" t="n">
        <v>250.41</v>
      </c>
    </row>
    <row r="70">
      <c r="B70" s="28" t="inlineStr">
        <is>
          <t>2026-08</t>
        </is>
      </c>
      <c r="C70" s="31" t="n">
        <v>291.52</v>
      </c>
    </row>
    <row r="72" ht="74" customHeight="1">
      <c r="B72" s="6" t="inlineStr">
        <is>
          <t>TREND READ. The 50-day ($240.18) is still BELOW the 200-day ($269.18) — the death cross from earlier in 2026 has not yet reversed — but price is now above both, 21% above the 50-day and 8% above the 200-day, with RSI at 60.8. That configuration is a young trend reversal, not a mature uptrend, and it is stretched in the short term. The 200-day at ~$269 and the June-July consolidation shelf around $245-250 are the levels that matter on a pullback; the September 2025 breakdown zone near $340-355 is the first meaningful overhead supply. With 30-day realised volatility at 51% and Q3 FY26 earnings on 10 September 2026, position sizing matters more than level-picking here.</t>
        </is>
      </c>
    </row>
  </sheetData>
  <mergeCells count="6">
    <mergeCell ref="B42:F42"/>
    <mergeCell ref="B72:F72"/>
    <mergeCell ref="B3:F3"/>
    <mergeCell ref="A29:D29"/>
    <mergeCell ref="A2:D2"/>
    <mergeCell ref="A44:D4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2:F23"/>
  <sheetViews>
    <sheetView showGridLines="0" workbookViewId="0">
      <selection activeCell="A1" sqref="A1"/>
    </sheetView>
  </sheetViews>
  <sheetFormatPr baseColWidth="8" defaultRowHeight="15"/>
  <cols>
    <col width="2" customWidth="1" min="1" max="1"/>
    <col width="14" customWidth="1" min="2" max="2"/>
    <col width="34" customWidth="1" min="3" max="3"/>
    <col width="13" customWidth="1" min="4" max="4"/>
    <col width="12" customWidth="1" min="5" max="5"/>
    <col width="60" customWidth="1" min="6" max="6"/>
    <col width="3" customWidth="1" min="7" max="7"/>
  </cols>
  <sheetData>
    <row r="2" ht="20" customHeight="1">
      <c r="A2" s="7" t="inlineStr">
        <is>
          <t>HISTORICAL CATALYSTS — what actually moved the stock</t>
        </is>
      </c>
    </row>
    <row r="4">
      <c r="B4" s="21" t="inlineStr">
        <is>
          <t>Date</t>
        </is>
      </c>
      <c r="C4" s="21" t="inlineStr">
        <is>
          <t>Event</t>
        </is>
      </c>
      <c r="D4" s="21" t="inlineStr">
        <is>
          <t>1-day move</t>
        </is>
      </c>
      <c r="E4" s="21" t="inlineStr">
        <is>
          <t>Volume</t>
        </is>
      </c>
      <c r="F4" s="21" t="inlineStr">
        <is>
          <t>What the market actually reacted to</t>
        </is>
      </c>
    </row>
    <row r="5" ht="46" customHeight="1">
      <c r="B5" s="28" t="inlineStr">
        <is>
          <t>2025-12-10</t>
        </is>
      </c>
      <c r="C5" s="81" t="inlineStr">
        <is>
          <t>Q4 &amp; FY2025 results; initial FY2026 guidance</t>
        </is>
      </c>
      <c r="D5" s="82" t="n">
        <v>-0.003</v>
      </c>
      <c r="E5" s="83" t="inlineStr">
        <is>
          <t>6.8mm</t>
        </is>
      </c>
      <c r="F5" s="84" t="inlineStr">
        <is>
          <t>FY25 revenue $23.77bn (+11%), record $10.0bn operating cash flow. Initial FY26 guide: revenue $25.9-26.1bn, non-GAAP EPS $23.30-23.50, total ARR growth 'over 10%'. Muted on the day; the stock rose 2.1% the following session.</t>
        </is>
      </c>
    </row>
    <row r="6" ht="46" customHeight="1">
      <c r="B6" s="28" t="inlineStr">
        <is>
          <t>2026-02-10</t>
        </is>
      </c>
      <c r="C6" s="81" t="inlineStr">
        <is>
          <t>Shares hit a 52-week low intraday</t>
        </is>
      </c>
      <c r="D6" s="25" t="inlineStr">
        <is>
          <t>n/a</t>
        </is>
      </c>
      <c r="E6" s="83" t="inlineStr">
        <is>
          <t>-</t>
        </is>
      </c>
      <c r="F6" s="84" t="inlineStr">
        <is>
          <t>Part of a sector-wide de-rating of seat-based software rather than a company event.</t>
        </is>
      </c>
    </row>
    <row r="7" ht="46" customHeight="1">
      <c r="B7" s="28" t="inlineStr">
        <is>
          <t>2026-03-12</t>
        </is>
      </c>
      <c r="C7" s="81" t="inlineStr">
        <is>
          <t>Q1 FY2026 results AND CEO transition announced</t>
        </is>
      </c>
      <c r="D7" s="82" t="n">
        <v>-0.014</v>
      </c>
      <c r="E7" s="83" t="inlineStr">
        <is>
          <t>10.9mm</t>
        </is>
      </c>
      <c r="F7" s="84" t="inlineStr">
        <is>
          <t>Record Q1: revenue $6.40bn (+12%), non-GAAP EPS $6.06, ARR $26.06bn, record Q1 operating cash flow of $2.96bn — and, in the same release, Shantanu Narayen's decision to step down as CEO after 18 years once a successor is named.</t>
        </is>
      </c>
    </row>
    <row r="8" ht="46" customHeight="1">
      <c r="B8" s="28" t="inlineStr">
        <is>
          <t>2026-03-13</t>
        </is>
      </c>
      <c r="C8" s="81" t="inlineStr">
        <is>
          <t>First full session after the CEO announcement</t>
        </is>
      </c>
      <c r="D8" s="82" t="n">
        <v>-0.076</v>
      </c>
      <c r="E8" s="83" t="inlineStr">
        <is>
          <t>17.4mm</t>
        </is>
      </c>
      <c r="F8" s="84" t="inlineStr">
        <is>
          <t>The single largest one-day decline in the period. A beat on every reported metric could not offset an open-ended leadership vacuum at a company whose entire investment case is a strategic pivot.</t>
        </is>
      </c>
    </row>
    <row r="9" ht="46" customHeight="1">
      <c r="B9" s="28" t="inlineStr">
        <is>
          <t>2026-04-28</t>
        </is>
      </c>
      <c r="C9" s="81" t="inlineStr">
        <is>
          <t>Semrush acquisition closes</t>
        </is>
      </c>
      <c r="D9" s="25" t="inlineStr">
        <is>
          <t>n/a</t>
        </is>
      </c>
      <c r="E9" s="83" t="inlineStr">
        <is>
          <t>-</t>
        </is>
      </c>
      <c r="F9" s="84" t="inlineStr">
        <is>
          <t>$1.87bn cash ($12.00/share), adding ~$480mm of ARR in SEO and generative-engine optimisation.</t>
        </is>
      </c>
    </row>
    <row r="10" ht="46" customHeight="1">
      <c r="B10" s="28" t="inlineStr">
        <is>
          <t>2026-06-11</t>
        </is>
      </c>
      <c r="C10" s="81" t="inlineStr">
        <is>
          <t>Q2 FY2026 results: raise on revenue and non-GAAP EPS, CUT to H2 ARR growth; CFO departure</t>
        </is>
      </c>
      <c r="D10" s="82" t="n">
        <v>-0.062</v>
      </c>
      <c r="E10" s="83" t="inlineStr">
        <is>
          <t>17.8mm</t>
        </is>
      </c>
      <c r="F10" s="84" t="inlineStr">
        <is>
          <t>Record revenue $6.62bn, AI-first ARR tripled past $500mm, FY26 revenue and non-GAAP EPS targets RAISED — and second-half ARR growth expectations lowered for the freemium pivot, alongside CFO Dan Durn's exit effective 15 Jun.</t>
        </is>
      </c>
    </row>
    <row r="11" ht="46" customHeight="1">
      <c r="B11" s="28" t="inlineStr">
        <is>
          <t>2026-06-12</t>
        </is>
      </c>
      <c r="C11" s="81" t="inlineStr">
        <is>
          <t>Second session after Q2</t>
        </is>
      </c>
      <c r="D11" s="82" t="n">
        <v>-0.068</v>
      </c>
      <c r="E11" s="83" t="inlineStr">
        <is>
          <t>25.0mm</t>
        </is>
      </c>
      <c r="F11" s="84" t="inlineStr">
        <is>
          <t>Heaviest volume of the period. Two sessions took the stock down ~13%; it bottomed at $193.41 on 25 Jun 2026.</t>
        </is>
      </c>
    </row>
    <row r="12" ht="46" customHeight="1">
      <c r="B12" s="28" t="inlineStr">
        <is>
          <t>2026-06-25 to 2026-08-28</t>
        </is>
      </c>
      <c r="C12" s="81" t="inlineStr">
        <is>
          <t>The rebound</t>
        </is>
      </c>
      <c r="D12" s="85" t="n">
        <v>0.507</v>
      </c>
      <c r="E12" s="83" t="inlineStr">
        <is>
          <t>-</t>
        </is>
      </c>
      <c r="F12" s="84" t="inlineStr">
        <is>
          <t>+50.7% off the closing low with no new company disclosure — a valuation re-rating as the market re-read the same Q2 numbers, helped by AI-monetisation proof points and a deeply discounted forward multiple.</t>
        </is>
      </c>
    </row>
    <row r="14" ht="20" customHeight="1">
      <c r="A14" s="7" t="inlineStr">
        <is>
          <t>FORWARD CATALYSTS</t>
        </is>
      </c>
    </row>
    <row r="15">
      <c r="B15" s="21" t="inlineStr">
        <is>
          <t>Date</t>
        </is>
      </c>
      <c r="C15" s="21" t="inlineStr">
        <is>
          <t>Event</t>
        </is>
      </c>
      <c r="D15" s="21" t="inlineStr">
        <is>
          <t>Direction</t>
        </is>
      </c>
      <c r="E15" s="21" t="inlineStr">
        <is>
          <t>Weight</t>
        </is>
      </c>
      <c r="F15" s="21" t="inlineStr">
        <is>
          <t>Why it matters</t>
        </is>
      </c>
    </row>
    <row r="16" ht="58" customHeight="1">
      <c r="B16" s="28" t="inlineStr">
        <is>
          <t>2026-09-10</t>
        </is>
      </c>
      <c r="C16" s="81" t="inlineStr">
        <is>
          <t>Q3 FY2026 results</t>
        </is>
      </c>
      <c r="D16" s="83" t="inlineStr">
        <is>
          <t>Two-sided</t>
        </is>
      </c>
      <c r="E16" s="86" t="inlineStr">
        <is>
          <t>HIGHEST</t>
        </is>
      </c>
      <c r="F16" s="84" t="inlineStr">
        <is>
          <t>The first read on whether the freemium pivot is deferring ARR or destroying it. Guided to $6.67-6.72bn revenue and non-GAAP EPS of $6.05-6.10. Watch ONE number above all: total ending ARR against the ~$27.4bn implied by the FY26 10.2% target — and watch Firefly ARR against creative freemium MAU, because that ratio is the conversion rate.</t>
        </is>
      </c>
    </row>
    <row r="17" ht="58" customHeight="1">
      <c r="B17" s="28" t="inlineStr">
        <is>
          <t>Not announced</t>
        </is>
      </c>
      <c r="C17" s="81" t="inlineStr">
        <is>
          <t>Appointment of Adobe's next CEO</t>
        </is>
      </c>
      <c r="D17" s="83" t="inlineStr">
        <is>
          <t>Two-sided</t>
        </is>
      </c>
      <c r="E17" s="86" t="inlineStr">
        <is>
          <t>HIGH</t>
        </is>
      </c>
      <c r="F17" s="84" t="inlineStr">
        <is>
          <t>The search has run since 12 Mar 2026 and management said the goal is to have the successor in place to shape FY2027 planning — implying an announcement before roughly December 2026. An external hire raises restructuring and strategy-reset risk; an internal appointment (David Wadhwani is the obvious candidate) would be read as continuity.</t>
        </is>
      </c>
    </row>
    <row r="18" ht="58" customHeight="1">
      <c r="B18" s="28" t="inlineStr">
        <is>
          <t>Not announced</t>
        </is>
      </c>
      <c r="C18" s="81" t="inlineStr">
        <is>
          <t>Permanent CFO appointment</t>
        </is>
      </c>
      <c r="D18" s="83" t="inlineStr">
        <is>
          <t>Mildly positive</t>
        </is>
      </c>
      <c r="E18" s="86" t="inlineStr">
        <is>
          <t>MEDIUM</t>
        </is>
      </c>
      <c r="F18" s="84" t="inlineStr">
        <is>
          <t>Steve Day has been interim since 15 Jun 2026. Two open C-suite seats at once is the single clearest overhang.</t>
        </is>
      </c>
    </row>
    <row r="19" ht="58" customHeight="1">
      <c r="B19" s="28" t="inlineStr">
        <is>
          <t>Dec 2026 (typical)</t>
        </is>
      </c>
      <c r="C19" s="81" t="inlineStr">
        <is>
          <t>Q4 FY2026 results and initial FY2027 guidance</t>
        </is>
      </c>
      <c r="D19" s="83" t="inlineStr">
        <is>
          <t>Two-sided</t>
        </is>
      </c>
      <c r="E19" s="86" t="inlineStr">
        <is>
          <t>HIGHEST</t>
        </is>
      </c>
      <c r="F19" s="84" t="inlineStr">
        <is>
          <t>The real test. Because subscription revenue is recognised ratably, an H2 FY26 ARR air-pocket lands in FY2027 REVENUE. Initial FY27 guidance is where the freemium trade is either validated or repriced.</t>
        </is>
      </c>
    </row>
    <row r="20" ht="58" customHeight="1">
      <c r="B20" s="28" t="inlineStr">
        <is>
          <t>Ongoing</t>
        </is>
      </c>
      <c r="C20" s="81" t="inlineStr">
        <is>
          <t>AI copyright litigation</t>
        </is>
      </c>
      <c r="D20" s="83" t="inlineStr">
        <is>
          <t>Negative</t>
        </is>
      </c>
      <c r="E20" s="86" t="inlineStr">
        <is>
          <t>MEDIUM</t>
        </is>
      </c>
      <c r="F20" s="84" t="inlineStr">
        <is>
          <t>A proposed class action filed Dec 2025 alleges Adobe trained its SlimLM models on books from pirate shadow libraries, plus shareholder derivative suits over AI-training disclosures. The specific danger is not the damages — it is that 'commercially safe, indemnified Firefly' is Adobe's core enterprise differentiator, and this attacks it directly.</t>
        </is>
      </c>
    </row>
    <row r="21" ht="58" customHeight="1">
      <c r="B21" s="28" t="inlineStr">
        <is>
          <t>Ongoing</t>
        </is>
      </c>
      <c r="C21" s="81" t="inlineStr">
        <is>
          <t>OpenAI, Google and Canva product releases</t>
        </is>
      </c>
      <c r="D21" s="83" t="inlineStr">
        <is>
          <t>Negative</t>
        </is>
      </c>
      <c r="E21" s="86" t="inlineStr">
        <is>
          <t>HIGH</t>
        </is>
      </c>
      <c r="F21" s="84" t="inlineStr">
        <is>
          <t>Canva has reached roughly $4bn ARR and is reported to be heading for an IPO; Google's Nano Banana and OpenAI's Sora line keep pushing generation quality toward free. Adobe's own response has been to EMBED third-party models (Runway, Flux, Nano Banana, Kling) inside Firefly — a defensible aggregation strategy that also concedes that the model layer itself is not where the moat is.</t>
        </is>
      </c>
    </row>
    <row r="22" ht="58" customHeight="1">
      <c r="B22" s="28" t="inlineStr">
        <is>
          <t>Ongoing</t>
        </is>
      </c>
      <c r="C22" s="81" t="inlineStr">
        <is>
          <t>EU AI Act enforcement</t>
        </is>
      </c>
      <c r="D22" s="83" t="inlineStr">
        <is>
          <t>Mildly negative</t>
        </is>
      </c>
      <c r="E22" s="86" t="inlineStr">
        <is>
          <t>LOW</t>
        </is>
      </c>
      <c r="F22" s="84" t="inlineStr">
        <is>
          <t>Full enforcement and transparency obligations began 2 Aug 2026, including machine-readable provenance marking on AI-generated content. Adobe's Content Credentials work makes this closer to an advantage than a cost.</t>
        </is>
      </c>
    </row>
    <row r="23" ht="58" customHeight="1">
      <c r="B23" s="28" t="inlineStr">
        <is>
          <t>Ongoing</t>
        </is>
      </c>
      <c r="C23" s="81" t="inlineStr">
        <is>
          <t>Buyback execution</t>
        </is>
      </c>
      <c r="D23" s="83" t="inlineStr">
        <is>
          <t>Positive</t>
        </is>
      </c>
      <c r="E23" s="86" t="inlineStr">
        <is>
          <t>MEDIUM</t>
        </is>
      </c>
      <c r="F23" s="84" t="inlineStr">
        <is>
          <t>~$27bn remained under authorisation at Q2 FY26 including a new $25bn authorised in April 2026 — roughly 23% of the current market capitalisation. At the ~$8-9bn/yr pace in this model, the buyback alone adds ~6-7% to EPS annually.</t>
        </is>
      </c>
    </row>
  </sheetData>
  <mergeCells count="2">
    <mergeCell ref="A2:E2"/>
    <mergeCell ref="A14:E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B42"/>
  <sheetViews>
    <sheetView showGridLines="0" workbookViewId="0">
      <selection activeCell="A1" sqref="A1"/>
    </sheetView>
  </sheetViews>
  <sheetFormatPr baseColWidth="8" defaultRowHeight="15"/>
  <cols>
    <col width="2" customWidth="1" min="1" max="1"/>
    <col width="118" customWidth="1" min="2" max="2"/>
    <col width="3" customWidth="1" min="3" max="3"/>
  </cols>
  <sheetData>
    <row r="2" ht="20" customHeight="1">
      <c r="A2" s="7" t="inlineStr">
        <is>
          <t>SOURCES, DATA-QUALITY FLAGS &amp; ASSUMPTIONS LOG</t>
        </is>
      </c>
    </row>
    <row r="4" ht="39" customHeight="1">
      <c r="B4" s="43" t="inlineStr">
        <is>
          <t>GENERAL: research compiled 29 August 2026. Adobe's fiscal year ends on the Friday nearest 30 November; FY2025 ended 28 Nov 2025. The most recent reported period in this model is Q2 FY2026 (ended 29 May 2026, 10-Q filed 15 Jun 2026). Q3 FY2026 reports on 10 September 2026 and is NOT reflected anywhere in this model.</t>
        </is>
      </c>
    </row>
    <row r="5" ht="8" customHeight="1">
      <c r="B5" s="6" t="inlineStr"/>
    </row>
    <row r="6" ht="16" customHeight="1">
      <c r="B6" s="43" t="inlineStr">
        <is>
          <t>PRIMARY FILINGS (SEC EDGAR, CIK 0000796343):</t>
        </is>
      </c>
    </row>
    <row r="7" ht="16" customHeight="1">
      <c r="B7" s="6" t="inlineStr">
        <is>
          <t xml:space="preserve">  FY2025 Form 10-K, period 2025-11-28, filed 2026-01-15 (accession 0000796343-26-000003).</t>
        </is>
      </c>
    </row>
    <row r="8" ht="26" customHeight="1">
      <c r="B8" s="6" t="inlineStr">
        <is>
          <t xml:space="preserve">  Form 10-Q, period 2026-05-29, filed 2026-06-15 (accession 0000796343-26-000112) — the balance-sheet and cash-flow anchor for all Q2 FY26 figures.</t>
        </is>
      </c>
    </row>
    <row r="9" ht="16" customHeight="1">
      <c r="B9" s="6" t="inlineStr">
        <is>
          <t xml:space="preserve">  Form 10-Q, period 2026-02-27, filed 2026-03-25 (accession 0000796343-26-000056).</t>
        </is>
      </c>
    </row>
    <row r="10" ht="26" customHeight="1">
      <c r="B10" s="6" t="inlineStr">
        <is>
          <t xml:space="preserve">  Form 10-Q, period 2025-08-29, filed 2025-09-24 (accession 0000796343-25-000107) — source of the exact Q3 FY25 operating expense lines used to derive the Q4 FY25 quarter.</t>
        </is>
      </c>
    </row>
    <row r="11" ht="26" customHeight="1">
      <c r="B11" s="6" t="inlineStr">
        <is>
          <t xml:space="preserve">  Form 8-K Ex-99.1, 2026-06-11 (Q2 FY26 results and raised FY26 targets); Ex-99.1/99.2/99.3, 2026-03-12 (Q1 FY26 results and the CEO transition announcement); Ex-99.1, 2025-12-10 (Q4/FY25 results and initial FY26 targets).</t>
        </is>
      </c>
    </row>
    <row r="12" ht="39" customHeight="1">
      <c r="B12" s="6" t="inlineStr">
        <is>
          <t xml:space="preserve">  Adobe Investor Relations: Q2 FY2026 prepared remarks and slides, 11 Jun 2026 — the ONLY source for the MAU, freemium, Firefly ARR and AI-first ARR figures on the ARR &amp; Freemium Driver tab. These are management-stated operating metrics, not audited financial-statement line items.</t>
        </is>
      </c>
    </row>
    <row r="13" ht="26" customHeight="1">
      <c r="B13" s="6" t="inlineStr">
        <is>
          <t xml:space="preserve">  Income-statement and balance-sheet line items pulled programmatically from EDGAR's XBRL companyconcept API (us-gaap tags), de-duplicated to the newest filing per period end so restated and original figures are never mixed.</t>
        </is>
      </c>
    </row>
    <row r="14" ht="8" customHeight="1">
      <c r="B14" s="6" t="inlineStr"/>
    </row>
    <row r="15" ht="16" customHeight="1">
      <c r="B15" s="43" t="inlineStr">
        <is>
          <t>MARKET DATA:</t>
        </is>
      </c>
    </row>
    <row r="16" ht="26" customHeight="1">
      <c r="B16" s="6" t="inlineStr">
        <is>
          <t xml:space="preserve">  Share price, 52-week range, and the full daily close series used for moving averages, RSI, realised volatility and relative performance: Yahoo Finance, close of 28 Aug 2026 (last quote timestamp 2026-08-28 20:00:01 UTC).</t>
        </is>
      </c>
    </row>
    <row r="17" ht="26" customHeight="1">
      <c r="B17" s="6" t="inlineStr">
        <is>
          <t xml:space="preserve">  Market cap, enterprise value, trailing/forward P/E, EV/Sales, EV/EBITDA, shares outstanding, short interest, float and beta for Adobe and every peer: stockanalysis.com, all read 28 Aug 2026.</t>
        </is>
      </c>
    </row>
    <row r="18" ht="26" customHeight="1">
      <c r="B18" s="6" t="inlineStr">
        <is>
          <t xml:space="preserve">  Analyst consensus (40 analysts, 'Hold', mean target $270.61, MEDIAN $250.00, range $190-$380; FY26E revenue $26.53bn and EPS $24.41; FY27E revenue $28.92bn and EPS $27.49): S&amp;P Global via stockanalysis.com, as of 19 Aug 2026.</t>
        </is>
      </c>
    </row>
    <row r="19" ht="16" customHeight="1">
      <c r="B19" s="6" t="inlineStr">
        <is>
          <t xml:space="preserve">  Risk-free rate: FRED series DGS10, observation 27 Aug 2026 (4.67%). Short rate DGS3MO 3.84% on the same date.</t>
        </is>
      </c>
    </row>
    <row r="20" ht="16" customHeight="1">
      <c r="B20" s="6" t="inlineStr">
        <is>
          <t xml:space="preserve">  Institutional ownership 90.16%: GuruFocus, 13 Jun 2026.</t>
        </is>
      </c>
    </row>
    <row r="21" ht="8" customHeight="1">
      <c r="B21" s="6" t="inlineStr"/>
    </row>
    <row r="22" ht="16" customHeight="1">
      <c r="B22" s="43" t="inlineStr">
        <is>
          <t>DATA-QUALITY FLAGS — read these before using any number here:</t>
        </is>
      </c>
    </row>
    <row r="23" ht="39" customHeight="1">
      <c r="B23" s="6" t="inlineStr">
        <is>
          <t xml:space="preserve">  CONFLICT (short interest): stockanalysis.com reports 17.97mm shares short / 4.54% of float on 28 Aug 2026, while a January 2026 reading was 12.37mm / 2.96%. Both are plausible as a time series (short interest roughly doubled during 2026), but they are different vintages and settlement dates lag by about two weeks. Do not treat 4.54% as live.</t>
        </is>
      </c>
    </row>
    <row r="24" ht="39" customHeight="1">
      <c r="B24" s="6" t="inlineStr">
        <is>
          <t xml:space="preserve">  CONFLICT (moving averages): chart sites gave materially different figures during this research — one reported a 50-day of $242.4 and a 200-day of $274.9, another an SMA50 of $230.37. The values used here were recomputed from the raw daily close series and agree exactly with stockanalysis.com's same-day figures ($240.18 / $269.18).</t>
        </is>
      </c>
    </row>
    <row r="25" ht="52" customHeight="1">
      <c r="B25" s="6" t="inlineStr">
        <is>
          <t xml:space="preserve">  CONFLICT (peer multiples): secondary commentary read during this research asserted Adobe trades at '10x forward earnings' against Salesforce at '23x' and Autodesk at '19x'. The same-day figures are 11.15x, 17.28x and 20.04x. The qualitative point survives; the specific numbers did not. Comparable-multiple claims from opinion pieces go stale in weeks.</t>
        </is>
      </c>
    </row>
    <row r="26" ht="39" customHeight="1">
      <c r="B26" s="6" t="inlineStr">
        <is>
          <t xml:space="preserve">  CONFLICT (FTC/DOJ settlement size): reported as both '$150 million' and '$75 million'. Both are right about different things — the total is $150mm, of which $75mm is free services to affected customers and $75mm is paid to the DOJ. Court approval was granted in March 2026.</t>
        </is>
      </c>
    </row>
    <row r="27" ht="26" customHeight="1">
      <c r="B27" s="6" t="inlineStr">
        <is>
          <t xml:space="preserve">  STALE (options data): implied volatility of ~49 and a put/call ratio of 0.54 are July 2026 observations from GuruFocus, not same-day, and were not independently verified. They are flagged as such on the Technicals tab.</t>
        </is>
      </c>
    </row>
    <row r="28" ht="39" customHeight="1">
      <c r="B28" s="6" t="inlineStr">
        <is>
          <t xml:space="preserve">  DERIVED, NOT REPORTED (Q4 FY2025): Adobe does not tag a discrete Q4 in XBRL. Q4 FY25 figures are the FY2025 10-K totals less the three 10-Qs. Derived revenue of $6,194mm ties to the $6.19bn in the Q4 FY25 release and derived operating income of $2,261mm ties to the reported $2.26bn, so the derivation is validated — but it is a derivation.</t>
        </is>
      </c>
    </row>
    <row r="29" ht="39" customHeight="1">
      <c r="B29" s="6" t="inlineStr">
        <is>
          <t xml:space="preserve">  DERIVED, NOT REPORTED (Q2 FY25 total ARR): the $24,089mm figure used to compute the H2 FY25 net-new ARR comparison is backed out of the disclosed Q2 FY26 exit ARR of $27,100mm and its disclosed +12.5% YoY growth. Adobe did not publish a total-company ARR number for that quarter under the old segment reporting basis.</t>
        </is>
      </c>
    </row>
    <row r="30" ht="39" customHeight="1">
      <c r="B30" s="6" t="inlineStr">
        <is>
          <t xml:space="preserve">  DERIVED, NOT REPORTED (implied H2 FY26 net-new ARR): $670mm is implied by the company's own FY26 ending-ARR growth target of 10.2% against its reported Q2 exit ARR. Adobe did not state a half-year ARR figure. This is the central quantified claim of the whole model and it is an inference, not a disclosure.</t>
        </is>
      </c>
    </row>
    <row r="31" ht="26" customHeight="1">
      <c r="B31" s="6" t="inlineStr">
        <is>
          <t xml:space="preserve">  NOT DISCLOSED (freemium conversion and ARPU): Adobe publishes MAU and Firefly ARR but no conversion rate and no freemium ARPU. Both are yellow assumption cells. Every conclusion drawn from the freemium grid inherits that uncertainty.</t>
        </is>
      </c>
    </row>
    <row r="32" ht="26" customHeight="1">
      <c r="B32" s="6" t="inlineStr">
        <is>
          <t xml:space="preserve">  LEAST-SOURCED INPUT (equity risk premium): the 4.5% ERP on the DCF tab was NOT verified against Damodaran's current published update during this build. It is the weakest link in the WACC and therefore in the DCF output.</t>
        </is>
      </c>
    </row>
    <row r="33" ht="52" customHeight="1">
      <c r="B33" s="6" t="inlineStr">
        <is>
          <t xml:space="preserve">  UNVERIFIED (market sizing): third-party creative-software market-size estimates found during this research ranged from a $16.8bn 2026 market to figures several times larger depending on scope, and one source put Adobe's share at ~58%. These are vendor-report figures with incompatible definitions and are used qualitatively only — no valuation conclusion in this model rests on any of them.</t>
        </is>
      </c>
    </row>
    <row r="34" ht="8" customHeight="1">
      <c r="B34" s="6" t="inlineStr"/>
    </row>
    <row r="35" ht="16" customHeight="1">
      <c r="B35" s="43" t="inlineStr">
        <is>
          <t>KEY ASSUMPTIONS TO INTERROGATE BEFORE USING THIS MODEL FOR A REAL DECISION:</t>
        </is>
      </c>
    </row>
    <row r="36" ht="39" customHeight="1">
      <c r="B36" s="6" t="inlineStr">
        <is>
          <t xml:space="preserve">  FY2026E revenue growth of 11.70% is not a forecast — it reproduces the company's own $26.50-26.60bn guidance midpoint, and the model's FY26E GAAP EPS output lands inside the guided $17.90-18.00 range. FY2027E's 9.0% lands within 0.1% of Street consensus. Everything from FY2028E onward is judgment.</t>
        </is>
      </c>
    </row>
    <row r="37" ht="39" customHeight="1">
      <c r="B37" s="6" t="inlineStr">
        <is>
          <t xml:space="preserve">  The gross-margin fade from 89.0% to 87.9% is the model's most consequential non-obvious assumption. It is grounded in one real data point — Q2 FY26 subscription COGS grew 16.0% YoY against 13.7% subscription revenue growth — but one quarter is not a trend. If inference cost per generation falls faster than volume grows, this reverses.</t>
        </is>
      </c>
    </row>
    <row r="38" ht="39" customHeight="1">
      <c r="B38" s="6" t="inlineStr">
        <is>
          <t xml:space="preserve">  The buyback pace of $8-9bn a year is the single largest contributor to modelled EPS growth and is held at TODAY'S share price. A rising stock retires fewer shares than modelled; this is a real and unmodelled source of downside to EPS.</t>
        </is>
      </c>
    </row>
    <row r="39" ht="26" customHeight="1">
      <c r="B39" s="6" t="inlineStr">
        <is>
          <t xml:space="preserve">  Terminal value is roughly three-quarters of enterprise value in the Base DCF. Lean on the Sensitivity tab and the reverse DCF, not on the single point estimate.</t>
        </is>
      </c>
    </row>
    <row r="40" ht="26" customHeight="1">
      <c r="B40" s="6" t="inlineStr">
        <is>
          <t xml:space="preserve">  Beta of 1.40 and the 4.5% ERP together drive almost the entire WACC, because debt is only ~5% of capital. A 1.20 beta lifts the DCF value roughly 15%.</t>
        </is>
      </c>
    </row>
    <row r="41" ht="8" customHeight="1">
      <c r="B41" s="6" t="inlineStr"/>
    </row>
    <row r="42" ht="78" customHeight="1">
      <c r="B42" s="43" t="inlineStr">
        <is>
          <t>DISCLAIMER: this model was produced by an AI research assistant from public filings and secondary sources at a point in time. It is not investment, legal or tax advice, has not been reviewed by a licensed analyst, and is not built on a live market-data terminal. Adobe's actual results depend on the outcome of a freemium strategy with no disclosed conversion economics, an unresolved CEO succession, active AI-copyright litigation that targets its core enterprise differentiator, and competition from firms giving away adjacent capability for free. Verify every decision-critical figure against primary sources before acting.</t>
        </is>
      </c>
    </row>
  </sheetData>
  <mergeCells count="1">
    <mergeCell ref="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2026-08-28T21:37:28Z</dcterms:created>
  <dcterms:modified xsi:type="dcterms:W3CDTF">2026-08-28T21:37:28Z</dcterms:modified>
</cp:coreProperties>
</file>