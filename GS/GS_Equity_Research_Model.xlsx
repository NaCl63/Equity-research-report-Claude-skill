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Quarterly Financials" sheetId="2" state="visible" r:id="rId4"/>
    <sheet name="ROTE Driver Model" sheetId="3" state="visible" r:id="rId5"/>
    <sheet name="Valuation" sheetId="4" state="visible" r:id="rId6"/>
    <sheet name="Analyst Ratings" sheetId="5" state="visible" r:id="rId7"/>
    <sheet name="Technical &amp; Market" sheetId="6" state="visible" r:id="rId8"/>
    <sheet name="Catalyst Calendar" sheetId="7" state="visible" r:id="rId9"/>
    <sheet name="Sources &amp; Notes" sheetId="8" state="visible" r:id="rId10"/>
  </sheets>
  <definedNames>
    <definedName function="false" hidden="false" name="Cover_MktCap" vbProcedure="false">Cover!$C$13</definedName>
    <definedName function="false" hidden="false" name="Cover_Price" vbProcedure="false">Cover!$C$8</definedName>
    <definedName function="false" hidden="false" name="Cover_PTBV" vbProcedure="false">Cover!$C$16</definedName>
    <definedName function="false" hidden="false" name="Cover_Shares" vbProcedure="false">Cover!$C$11</definedName>
    <definedName function="false" hidden="false" name="Cover_TBVPS" vbProcedure="false">Cover!$C$15</definedName>
    <definedName function="false" hidden="false" name="Fwd_TBVPS" vbProcedure="false">'ROTE Driver Model'!$C$65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<sst xmlns="http://schemas.openxmlformats.org/spreadsheetml/2006/main" count="417" uniqueCount="382">
  <si>
    <t xml:space="preserve">THE GOLDMAN SACHS GROUP, INC.</t>
  </si>
  <si>
    <t xml:space="preserve">GS — Equity Research Model — Fundamental + Technical</t>
  </si>
  <si>
    <t xml:space="preserve">Prepared for informational/educational purposes — not investment advice</t>
  </si>
  <si>
    <t xml:space="preserve">Model date:</t>
  </si>
  <si>
    <t xml:space="preserve">2026-08-30</t>
  </si>
  <si>
    <t xml:space="preserve">MARKET SNAPSHOT</t>
  </si>
  <si>
    <t xml:space="preserve">Last price ($)</t>
  </si>
  <si>
    <t xml:space="preserve">stockanalysis.com close 28-Aug-2026</t>
  </si>
  <si>
    <t xml:space="preserve">52-week high ($)</t>
  </si>
  <si>
    <t xml:space="preserve">heygotrade quote page; intraday high 14-Jul-2026 post-2Q26 print</t>
  </si>
  <si>
    <t xml:space="preserve">52-week low ($)</t>
  </si>
  <si>
    <t xml:space="preserve">heygotrade quote page — see Sources for conflicting 52wk figures</t>
  </si>
  <si>
    <t xml:space="preserve">Basic shares outstanding (mm)</t>
  </si>
  <si>
    <t xml:space="preserve">2Q26 earnings presentation, p.11</t>
  </si>
  <si>
    <t xml:space="preserve">Free float (mm)</t>
  </si>
  <si>
    <t xml:space="preserve">StockTitan GS stock data</t>
  </si>
  <si>
    <t xml:space="preserve">Market capitalisation ($mm)</t>
  </si>
  <si>
    <t xml:space="preserve">Formula: price x basic shares. Sources quote $301bn-$315bn</t>
  </si>
  <si>
    <t xml:space="preserve">Book value per share ($)</t>
  </si>
  <si>
    <t xml:space="preserve">2Q26 earnings presentation</t>
  </si>
  <si>
    <t xml:space="preserve">Tangible book value per share ($)</t>
  </si>
  <si>
    <t xml:space="preserve">2Q26 earnings presentation (non-GAAP)</t>
  </si>
  <si>
    <t xml:space="preserve">Price / tangible book (x)</t>
  </si>
  <si>
    <t xml:space="preserve">Formula: price / TBVPS</t>
  </si>
  <si>
    <t xml:space="preserve">TTM diluted EPS ($)</t>
  </si>
  <si>
    <t xml:space="preserve">stockanalysis.com TTM to Jun-2026</t>
  </si>
  <si>
    <t xml:space="preserve">Trailing P/E (x)</t>
  </si>
  <si>
    <t xml:space="preserve">Formula: price / TTM EPS</t>
  </si>
  <si>
    <t xml:space="preserve">Forward P/E (x)</t>
  </si>
  <si>
    <t xml:space="preserve">stockanalysis.com, 29-Aug-2026</t>
  </si>
  <si>
    <t xml:space="preserve">Indicated annual dividend ($)</t>
  </si>
  <si>
    <t xml:space="preserve">$5.00/qtr declared for 3Q26 x 4</t>
  </si>
  <si>
    <t xml:space="preserve">Dividend yield (%)</t>
  </si>
  <si>
    <t xml:space="preserve">Formula: indicated DPS / price</t>
  </si>
  <si>
    <t xml:space="preserve">VALUATION DASHBOARD  (live links to the Valuation tab)</t>
  </si>
  <si>
    <t xml:space="preserve">Bear-case blended target ($)</t>
  </si>
  <si>
    <t xml:space="preserve">Base-case blended target ($)</t>
  </si>
  <si>
    <t xml:space="preserve">Bull-case blended target ($)</t>
  </si>
  <si>
    <t xml:space="preserve">Probability-weighted target ($, 25/50/25)</t>
  </si>
  <si>
    <t xml:space="preserve">Upside / (downside) to weighted target</t>
  </si>
  <si>
    <t xml:space="preserve">Sell-side consensus target ($)</t>
  </si>
  <si>
    <t xml:space="preserve">Market-implied sustainable ROTE</t>
  </si>
  <si>
    <t xml:space="preserve">WHAT THE MARKET IS PRICING IN</t>
  </si>
  <si>
    <t xml:space="preserve">GS trades at roughly 3.1x tangible book on a 2Q26 annualised ROTE of 25.5%. Reverse-engineering the Gordon relationship P/TBV = (ROTE - g) / (COE - g) at a 10.5% cost of equity and 4.0% long-run tangible book growth, the current price embeds a SUSTAINABLE ROTE of roughly 24% - against a firm-set through-the-cycle target of 15-17% ROTE and an FY2025 actual of 16.0%. The current price therefore sits closer to this model's Bull case than its Base case. For today's price to be justified on this framework, one of three things must be true: (i) the 2026 capital-markets and AI-financing cycle is a new plateau rather than a peak, so mid-20s ROTE is the new normal; (ii) the 2026 capital deregulation package permanently lowers the equity base GS must hold against the same earnings; or (iii) GS's cost of equity has fallen toward 9%, i.e. the market now views the earnings stream as materially less cyclical than history implies. Note the tension flagged on the Valuation tab: on a PEER-RELATIVE basis versus MS and JPM at spot returns, GS screens cheap, not expensive. The two methods only reconcile once ROTE is normalised. That disagreement is the investment question; this model does not resolve it.</t>
  </si>
  <si>
    <t xml:space="preserve">REPORT CONTENTS</t>
  </si>
  <si>
    <t xml:space="preserve">1. Quarterly Financials — 8 quarters of net revenues, segments, returns and book value</t>
  </si>
  <si>
    <t xml:space="preserve">2. ROTE Driver Model — the single biggest valuation lever: sustainable ROTE -&gt; justified P/TBV</t>
  </si>
  <si>
    <t xml:space="preserve">3. Valuation — peer multiples, two valuation methods, bear/base/bull scenarios</t>
  </si>
  <si>
    <t xml:space="preserve">4. Analyst Ratings — sell-side coverage and the spread of targets</t>
  </si>
  <si>
    <t xml:space="preserve">5. Technical &amp; Market — price levels, moving averages, positioning</t>
  </si>
  <si>
    <t xml:space="preserve">6. Catalyst Calendar — historical reactions and forward catalysts</t>
  </si>
  <si>
    <t xml:space="preserve">7. Sources &amp; Notes — citations and data-quality flags</t>
  </si>
  <si>
    <t xml:space="preserve">Color key:</t>
  </si>
  <si>
    <t xml:space="preserve">Blue = hardcoded input / assumption</t>
  </si>
  <si>
    <t xml:space="preserve">Black = formula</t>
  </si>
  <si>
    <t xml:space="preserve">Green = link to another sheet</t>
  </si>
  <si>
    <t xml:space="preserve">Yellow fill = key lever — change this to re-run scenarios</t>
  </si>
  <si>
    <t xml:space="preserve">DISCLAIMER: built from public secondary sources as of the model date, not a live market-data terminal. Every hardcoded figure is sourced on the Sources &amp; Notes tab; figures that varied across sources are flagged there rather than silently reconciled. Nothing here is investment, legal or tax advice.</t>
  </si>
  <si>
    <t xml:space="preserve">GS — QUARTERLY FINANCIALS ($mm unless noted)</t>
  </si>
  <si>
    <t xml:space="preserve">Source: GS quarterly earnings releases / 8-K exhibits (3Q24 through 2Q26) and the 2Q26 earnings results presentation. Rows marked 'derived' in column K are NOT directly disclosed — they are computed from disclosed YoY/QoQ change figures and are flagged as such on the Sources tab.</t>
  </si>
  <si>
    <t xml:space="preserve">Line item</t>
  </si>
  <si>
    <t xml:space="preserve">3Q24</t>
  </si>
  <si>
    <t xml:space="preserve">4Q24</t>
  </si>
  <si>
    <t xml:space="preserve">1Q25</t>
  </si>
  <si>
    <t xml:space="preserve">2Q25</t>
  </si>
  <si>
    <t xml:space="preserve">3Q25</t>
  </si>
  <si>
    <t xml:space="preserve">4Q25</t>
  </si>
  <si>
    <t xml:space="preserve">1Q26</t>
  </si>
  <si>
    <t xml:space="preserve">2Q26</t>
  </si>
  <si>
    <t xml:space="preserve">Global Banking &amp; Markets</t>
  </si>
  <si>
    <t xml:space="preserve">2Q25/1Q26/2Q26 from 2Q26 pres.; 4Q25 from Zacks recap</t>
  </si>
  <si>
    <t xml:space="preserve">Asset &amp; Wealth Management</t>
  </si>
  <si>
    <t xml:space="preserve">Same sources as GBM row</t>
  </si>
  <si>
    <t xml:space="preserve">Platform Solutions</t>
  </si>
  <si>
    <t xml:space="preserve">4Q25 depressed by Apple Card held-for-sale markdowns</t>
  </si>
  <si>
    <t xml:space="preserve">Net revenues (total)</t>
  </si>
  <si>
    <t xml:space="preserve">All eight from GS earnings releases</t>
  </si>
  <si>
    <t xml:space="preserve">Provision for credit losses</t>
  </si>
  <si>
    <t xml:space="preserve">2Q25 derived from '2Q26 -73% YoY'; 4Q25 = net benefit incl. $2.48bn Apple Card release</t>
  </si>
  <si>
    <t xml:space="preserve">Operating expenses</t>
  </si>
  <si>
    <t xml:space="preserve">2Q25/1Q26 derived from 2Q26 pres. change figures</t>
  </si>
  <si>
    <t xml:space="preserve">Pre-tax earnings</t>
  </si>
  <si>
    <t xml:space="preserve">Net earnings</t>
  </si>
  <si>
    <t xml:space="preserve">Net earnings to common</t>
  </si>
  <si>
    <t xml:space="preserve">Diluted EPS ($)</t>
  </si>
  <si>
    <t xml:space="preserve">Disclosed from 4Q25; earlier quarters not captured in sourcing</t>
  </si>
  <si>
    <t xml:space="preserve">Basic shares (mm)</t>
  </si>
  <si>
    <t xml:space="preserve">Diluted shares (mm)</t>
  </si>
  <si>
    <t xml:space="preserve">2Q26 derived: net earnings to common / diluted EPS</t>
  </si>
  <si>
    <t xml:space="preserve">ROE (annualised)</t>
  </si>
  <si>
    <t xml:space="preserve">1Q25 derived from 1H25 YTD ROE of 14.8% and 2Q25 of 12.8%</t>
  </si>
  <si>
    <t xml:space="preserve">ROTE (annualised)</t>
  </si>
  <si>
    <t xml:space="preserve">2Q25 derived: 2Q26 ROTE less the disclosed +11.9pp YoY change</t>
  </si>
  <si>
    <t xml:space="preserve">Efficiency ratio</t>
  </si>
  <si>
    <t xml:space="preserve">CET1 ratio (Standardized)</t>
  </si>
  <si>
    <t xml:space="preserve">Supplementary leverage ratio</t>
  </si>
  <si>
    <t xml:space="preserve">Assets under supervision ($bn)</t>
  </si>
  <si>
    <t xml:space="preserve">Loans ($bn)</t>
  </si>
  <si>
    <t xml:space="preserve">Net interest income</t>
  </si>
  <si>
    <t xml:space="preserve">2Q25 derived from '2Q26 NII +27% YoY'; 1Q26 from 1Q26 call</t>
  </si>
  <si>
    <t xml:space="preserve">Net revenues YoY growth</t>
  </si>
  <si>
    <t xml:space="preserve">Blank for the first four quarters (no prior-year comparator in the table)</t>
  </si>
  <si>
    <t xml:space="preserve">Net margin (net earnings / net revenues)</t>
  </si>
  <si>
    <t xml:space="preserve">GBM share of net revenues</t>
  </si>
  <si>
    <t xml:space="preserve">Read-through: the story is a violent, capital-markets-driven acceleration, not a steady compounding. Net revenues went from a $13-15bn quarterly band through 3Q25 to $17.2bn and then $20.3bn, and ROE roughly doubled from 12.8% in 2Q25 to 23.5% in 2Q26. Two-thirds of the incremental revenue came from Global Banking &amp; Markets, whose share of the total rose from ~69% to ~76% - so the mix got MORE cyclical, not less, even as management emphasises the fee-based AWM franchise. Equities net revenues alone rose 72% YoY. Meanwhile the CET1 ratio fell from 14.3% to 12.9% and the SLR from 5.2% to 4.3% in two quarters: a meaningful part of the ROE step-up is a smaller equity denominator, not just a bigger numerator. 4Q25's revenue dip is an artefact of $2.26bn of Apple Card held-for-sale markdowns run through net revenues, offset below the line by a $2.48bn reserve release.</t>
  </si>
  <si>
    <t xml:space="preserve">KEY DRIVER — SUSTAINABLE ROTE -&gt; JUSTIFIED PRICE / TANGIBLE BOOK</t>
  </si>
  <si>
    <t xml:space="preserve">A universal bank does not have a revenue multiple worth modelling: it has a book of equity and a return on it. Everything that matters for GS's valuation collapses into one number - the return on tangible common equity the franchise can sustain THROUGH a cycle - because price/tangible book is mechanically tied to it: P/TBV = (ROTE - g) / (COE - g). GS's 2Q26 annualised ROTE was 25.5%; its own published through-the-cycle target is 15-17%; FY2025 actual was 16.0%. The entire bull/bear argument is which of those numbers is the right anchor. Change the yellow cells to re-run.</t>
  </si>
  <si>
    <t xml:space="preserve">ANCHORS (observed)</t>
  </si>
  <si>
    <t xml:space="preserve">Tangible book value per share, 2Q26 ($)</t>
  </si>
  <si>
    <t xml:space="preserve">Link to Cover</t>
  </si>
  <si>
    <t xml:space="preserve">Current price ($)</t>
  </si>
  <si>
    <t xml:space="preserve">Current P / tangible book (x)</t>
  </si>
  <si>
    <t xml:space="preserve">2Q26 annualised ROTE</t>
  </si>
  <si>
    <t xml:space="preserve">1H26 year-to-date ROTE</t>
  </si>
  <si>
    <t xml:space="preserve">FY2025 ROTE</t>
  </si>
  <si>
    <t xml:space="preserve">FY2025 earnings release</t>
  </si>
  <si>
    <t xml:space="preserve">FY2024 ROTE</t>
  </si>
  <si>
    <t xml:space="preserve">FY2024 earnings release</t>
  </si>
  <si>
    <t xml:space="preserve">Management through-the-cycle ROTE target (low)</t>
  </si>
  <si>
    <t xml:space="preserve">1Q26 earnings call: 15-17% ROTE target</t>
  </si>
  <si>
    <t xml:space="preserve">Management through-the-cycle ROTE target (high)</t>
  </si>
  <si>
    <t xml:space="preserve">1Q26 earnings call</t>
  </si>
  <si>
    <t xml:space="preserve">BASE-CASE ASSUMPTIONS (the levers)</t>
  </si>
  <si>
    <t xml:space="preserve">Sustainable through-cycle ROTE</t>
  </si>
  <si>
    <t xml:space="preserve">Judgment: above the 15-17% target, below the 25.5% spot rate</t>
  </si>
  <si>
    <t xml:space="preserve">Cost of equity (COE)</t>
  </si>
  <si>
    <t xml:space="preserve">Judgment. NOT derived from a dated risk-free rate — see Sources gap note</t>
  </si>
  <si>
    <t xml:space="preserve">Long-run growth in tangible book per share (g)</t>
  </si>
  <si>
    <t xml:space="preserve">Judgment; constrained by buybacks executed above tangible book (see below)</t>
  </si>
  <si>
    <t xml:space="preserve">OUTPUT — JUSTIFIED MULTIPLE AND PRICE</t>
  </si>
  <si>
    <t xml:space="preserve">Justified P / tangible book (x)</t>
  </si>
  <si>
    <t xml:space="preserve">Implied share price on 2Q26 tangible book ($)</t>
  </si>
  <si>
    <t xml:space="preserve">Upside / (downside) vs. current price</t>
  </si>
  <si>
    <t xml:space="preserve">REVERSE-ENGINEERED: WHAT ROTE DOES TODAY'S PRICE IMPLY?</t>
  </si>
  <si>
    <t xml:space="preserve">Market-implied sustainable ROTE at the base COE and g</t>
  </si>
  <si>
    <t xml:space="preserve">  ...vs. management's 15-17% through-cycle target (pp above midpoint)</t>
  </si>
  <si>
    <t xml:space="preserve">This is the single most important cell in the model. It says the market is not paying for a 16%-ROTE bank at all; at a 10.5% cost of equity it is paying for a bank that earns roughly 24% on tangible equity forever. Anyone underwriting GS at this price is, implicitly, making that claim.</t>
  </si>
  <si>
    <t xml:space="preserve">GRID 1 — IMPLIED SHARE PRICE: sustainable ROTE (rows) x cost of equity (columns)</t>
  </si>
  <si>
    <t xml:space="preserve">Sustainable ROTE  \  Cost of equity</t>
  </si>
  <si>
    <t xml:space="preserve">Read the gradient: it runs far more steeply across the ROTE axis than across the cost-of-equity axis over these ranges. Sustainable profitability, not the discount rate, is what this valuation turns on. Trace where the current ~$1,034 price appears: it needs at least a 24% sustainable ROTE at a 10.5% cost of equity, or 26% at 11.0%. Nowhere in the 14-18% ROTE band - which spans management's own through-cycle target and the FY2024-FY2025 actuals - does any cost-of-equity assumption in this range produce today's price.</t>
  </si>
  <si>
    <t xml:space="preserve">GRID 2 — IMPLIED SHARE PRICE: sustainable ROTE (rows) x long-run TBV growth g (columns)</t>
  </si>
  <si>
    <t xml:space="preserve">Sustainable ROTE  \  Long-run g</t>
  </si>
  <si>
    <t xml:space="preserve">TANGIBLE BOOK ROLL-FORWARD — WHY g IS LOW WHEN YOU BUY BACK AT 3x BOOK</t>
  </si>
  <si>
    <t xml:space="preserve">Next twelve months (3Q26E - 2Q27E)</t>
  </si>
  <si>
    <t xml:space="preserve">Value</t>
  </si>
  <si>
    <t xml:space="preserve">Note</t>
  </si>
  <si>
    <t xml:space="preserve">Opening tangible common equity ($mm)</t>
  </si>
  <si>
    <t xml:space="preserve">GS 2Q26 non-GAAP reconciliation, 30-Jun-2026</t>
  </si>
  <si>
    <t xml:space="preserve">Opening basic shares (mm)</t>
  </si>
  <si>
    <t xml:space="preserve">Opening TBVPS ($)</t>
  </si>
  <si>
    <t xml:space="preserve">Formula: TCE / shares. Ties out to the separately disclosed $336.61 — a check on both inputs</t>
  </si>
  <si>
    <t xml:space="preserve">NTM net earnings to common ($mm)</t>
  </si>
  <si>
    <t xml:space="preserve">Assumption; cross-check: fwd P/E 14.8x implies ~$70 EPS x ~295mm shares</t>
  </si>
  <si>
    <t xml:space="preserve">Less: common dividends ($mm)</t>
  </si>
  <si>
    <t xml:space="preserve">$5.00/qtr x 4 x ~295mm shares</t>
  </si>
  <si>
    <t xml:space="preserve">Less: share repurchases ($mm)</t>
  </si>
  <si>
    <t xml:space="preserve">Assumption: continues the 2Q26 $4.0bn/qtr run-rate</t>
  </si>
  <si>
    <t xml:space="preserve">Repurchase price assumption ($)</t>
  </si>
  <si>
    <t xml:space="preserve">Assumes buybacks execute at today's price</t>
  </si>
  <si>
    <t xml:space="preserve">Shares retired (mm)</t>
  </si>
  <si>
    <t xml:space="preserve">Formula: repurchase dollars / repurchase price</t>
  </si>
  <si>
    <t xml:space="preserve">Closing tangible common equity ($mm)</t>
  </si>
  <si>
    <t xml:space="preserve">Formula: opening + earnings - dividends - buybacks</t>
  </si>
  <si>
    <t xml:space="preserve">Closing basic shares (mm)</t>
  </si>
  <si>
    <t xml:space="preserve">Formula: opening shares less shares retired</t>
  </si>
  <si>
    <t xml:space="preserve">Closing TBVPS ($)</t>
  </si>
  <si>
    <t xml:space="preserve">Formula: closing TCE / closing shares</t>
  </si>
  <si>
    <t xml:space="preserve">Implied 12-month growth in TBVPS</t>
  </si>
  <si>
    <t xml:space="preserve">Formula: closing / opening - 1</t>
  </si>
  <si>
    <t xml:space="preserve">Total payout ratio (dividends + buybacks / earnings)</t>
  </si>
  <si>
    <t xml:space="preserve">Above 100% means the equity base is shrinking</t>
  </si>
  <si>
    <t xml:space="preserve">Buyback multiple of tangible book (x)</t>
  </si>
  <si>
    <t xml:space="preserve">Formula: repurchase price / opening TBVPS</t>
  </si>
  <si>
    <t xml:space="preserve">This is the constraint the headline ROTE hides. GS is returning well over 100% of earnings, funded by drawing the CET1 ratio down from 14.3% at 4Q25 to 12.9% at 2Q26, and it is repurchasing stock at roughly 3x tangible book. Buying back above book value is TANGIBLE-BOOK DILUTIVE per share: it raises EPS and ROTE while suppressing the growth in the very book value the multiple is applied to. The observed evidence matches: over 1H26 book value per share rose 2.8% while TANGIBLE book value per share rose just 0.3% ($335.49 -&gt; $336.61), the gap being acquisition goodwill from Industry Ventures and Innovator plus buybacks executed far above book. A high-ROTE, low-g bank is worth less than the spot ROTE alone suggests - which is exactly what Grid 2 shows.</t>
  </si>
  <si>
    <t xml:space="preserve">MODEL LIMITATIONS: (1) a single-stage Gordon model assumes the sustainable ROTE arrives immediately and persists forever - it has no path, so it will understate a bank enjoying several more years of peak returns before mean reversion; (2) the cost of equity is a judgment input, not a CAPM build-up from a dated risk-free rate, which could not be pulled for this report; (3) the roll-forward assumes buybacks continue at the 2Q26 run-rate and execute at today's price, and ignores further acquisition goodwill; (4) no explicit modelling of the 2026 capital proposals, which if finalised as proposed would lower required capital and mechanically raise sustainable ROTE.</t>
  </si>
  <si>
    <t xml:space="preserve">PEER MULTIPLES — BANKS TRADE ON P/TBV AGAINST ROTE, NOT ON REVENUE MULTIPLES</t>
  </si>
  <si>
    <t xml:space="preserve">EV/Revenue and EV/EBITDA are not meaningful for a bank holding company: debt is raw material, not leverage, so enterprise value has no economic content. The meaningful pair is price/tangible book against return on tangible common equity. IMPORTANT: the as-of dates below differ by up to six weeks and could not be pulled same-day; several aggregators served visibly stale GS quotes (in the $780-$800 range) while researching this report. Treat the multiples as indicative, not precise.</t>
  </si>
  <si>
    <t xml:space="preserve">Company</t>
  </si>
  <si>
    <t xml:space="preserve">Price ($)</t>
  </si>
  <si>
    <t xml:space="preserve">TBVPS ($)</t>
  </si>
  <si>
    <t xml:space="preserve">P / TBV (x)</t>
  </si>
  <si>
    <t xml:space="preserve">Latest ROTE</t>
  </si>
  <si>
    <t xml:space="preserve">As-of date</t>
  </si>
  <si>
    <t xml:space="preserve">True comp?</t>
  </si>
  <si>
    <t xml:space="preserve">Goldman Sachs (GS)</t>
  </si>
  <si>
    <t xml:space="preserve">28-Aug-2026</t>
  </si>
  <si>
    <t xml:space="preserve">subject</t>
  </si>
  <si>
    <t xml:space="preserve">Morgan Stanley (MS)</t>
  </si>
  <si>
    <t xml:space="preserve">~24-Aug-2026</t>
  </si>
  <si>
    <t xml:space="preserve">Yes — closest comp</t>
  </si>
  <si>
    <t xml:space="preserve">JPMorgan Chase (JPM)</t>
  </si>
  <si>
    <t xml:space="preserve">n/a</t>
  </si>
  <si>
    <t xml:space="preserve">19-Jul-2026</t>
  </si>
  <si>
    <t xml:space="preserve">Partial — deposit-led mix</t>
  </si>
  <si>
    <t xml:space="preserve">Bank of America (BAC)</t>
  </si>
  <si>
    <t xml:space="preserve">14-Jul-2026</t>
  </si>
  <si>
    <t xml:space="preserve">Reference only</t>
  </si>
  <si>
    <t xml:space="preserve">Capital Markets industry median P/TBV</t>
  </si>
  <si>
    <t xml:space="preserve">GuruFocus, 754 Capital Markets companies</t>
  </si>
  <si>
    <t xml:space="preserve">Morgan Stanley 10-year median P/TBV</t>
  </si>
  <si>
    <t xml:space="preserve">GuruFocus — shows how far the whole group has re-rated</t>
  </si>
  <si>
    <t xml:space="preserve">The finding that cuts against the driver model: on SPOT returns GS screens CHEAP within this group. It earns a 2Q26 ROTE within a point of Morgan Stanley's, and above JPMorgan's, yet trades at ~3.1x tangible book versus ~4.0x and ~3.3x. A defensible reason exists - GS's earnings are far more cyclical, with roughly three-quarters of revenue from Global Banking &amp; Markets against Morgan Stanley's fee-based wealth franchise and JPMorgan's deposit base - so a lower multiple on the same spot return is not obviously mispricing. But it does mean the bear case rests on GS's returns normalising, not on the stock being expensive relative to its peers today.</t>
  </si>
  <si>
    <t xml:space="preserve">METHOD 2 — PEER P/TBV vs. ROTE REGRESSION (two-point fit, BAC to MS)</t>
  </si>
  <si>
    <t xml:space="preserve">Slope (P/TBV per 1pp of ROTE)</t>
  </si>
  <si>
    <t xml:space="preserve">Intercept</t>
  </si>
  <si>
    <t xml:space="preserve">Fitted P/TBV at GS's SPOT 25.5% ROTE (x)</t>
  </si>
  <si>
    <t xml:space="preserve">GS actual P/TBV (x)</t>
  </si>
  <si>
    <t xml:space="preserve">Fitted on only two anchor points (BAC and MS), so this is a sanity check on relative positioning, not a statistical estimate. Its whole value is that it can be run at a NORMALISED ROTE rather than a spot one — which is how it reconciles with the Gordon model below.</t>
  </si>
  <si>
    <t xml:space="preserve">SCENARIO VALUATION — BOTH METHODS DRIVEN OFF ONE ASSUMPTION: SUSTAINABLE ROTE</t>
  </si>
  <si>
    <t xml:space="preserve">Bear</t>
  </si>
  <si>
    <t xml:space="preserve">Base</t>
  </si>
  <si>
    <t xml:space="preserve">Bull</t>
  </si>
  <si>
    <t xml:space="preserve">Bear = bottom of management's own 15-17% target; Bull ~ 1H26 actual persists</t>
  </si>
  <si>
    <t xml:space="preserve">Cost of equity</t>
  </si>
  <si>
    <t xml:space="preserve">Bear widens the discount rate as earnings look more cyclical</t>
  </si>
  <si>
    <t xml:space="preserve">Long-run growth in tangible book (g)</t>
  </si>
  <si>
    <t xml:space="preserve">12-month forward TBVPS ($)</t>
  </si>
  <si>
    <t xml:space="preserve">Link to the roll-forward on the ROTE Driver Model tab</t>
  </si>
  <si>
    <t xml:space="preserve">Method 1 — justified P/TBV (Gordon) (x)</t>
  </si>
  <si>
    <t xml:space="preserve">Method 1 — implied share price ($)</t>
  </si>
  <si>
    <t xml:space="preserve">Method 2 — peer-regression P/TBV at scenario ROTE (x)</t>
  </si>
  <si>
    <t xml:space="preserve">Method 2 — implied share price ($)</t>
  </si>
  <si>
    <t xml:space="preserve">Blended implied share price ($)</t>
  </si>
  <si>
    <t xml:space="preserve">Simple average of the two methods</t>
  </si>
  <si>
    <t xml:space="preserve">Upside / (downside) to blended target</t>
  </si>
  <si>
    <t xml:space="preserve">Scenario probability weight</t>
  </si>
  <si>
    <t xml:space="preserve">The model's own judgment, stated explicitly — not a consensus distribution</t>
  </si>
  <si>
    <t xml:space="preserve">Probability-weighted target ($)</t>
  </si>
  <si>
    <t xml:space="preserve">How the two methods reconcile: run at GS's SPOT 25.5% ROTE, the peer regression implies roughly 3.8x tangible book and a price well above today's - GS looks cheap. Run at a NORMALISED 19% ROTE, the same regression implies about 2.4x, within a rounding error of the Gordon model's 2.3x. The two methods do not actually disagree about GS; they disagree about whether 2Q26 is the run-rate. That is the whole debate in one sentence, and no amount of modelling resolves it. Note also that the sell-side consensus target of ~$1,141 sits ABOVE the current price, meaning the street implicitly underwrites something close to the Bull column here — a genuine, material disagreement with this framework that the reader should weigh rather than dismiss.</t>
  </si>
  <si>
    <t xml:space="preserve">SELL-SIDE COVERAGE SNAPSHOT</t>
  </si>
  <si>
    <t xml:space="preserve">Date</t>
  </si>
  <si>
    <t xml:space="preserve">Firm</t>
  </si>
  <si>
    <t xml:space="preserve">Rating</t>
  </si>
  <si>
    <t xml:space="preserve">Price target ($)</t>
  </si>
  <si>
    <t xml:space="preserve">Upside/(downside)</t>
  </si>
  <si>
    <t xml:space="preserve">2026-06-30</t>
  </si>
  <si>
    <t xml:space="preserve">Oppenheimer (Kotowski)</t>
  </si>
  <si>
    <t xml:space="preserve">Underperform</t>
  </si>
  <si>
    <t xml:space="preserve">-</t>
  </si>
  <si>
    <t xml:space="preserve">Downgraded from Perform; flagged names running ahead of fundamentals</t>
  </si>
  <si>
    <t xml:space="preserve">2026-07-14</t>
  </si>
  <si>
    <t xml:space="preserve">JPMorgan</t>
  </si>
  <si>
    <t xml:space="preserve">Neutral</t>
  </si>
  <si>
    <t xml:space="preserve">Materially below the consensus range</t>
  </si>
  <si>
    <t xml:space="preserve">~2026-08</t>
  </si>
  <si>
    <t xml:space="preserve">Morgan Stanley</t>
  </si>
  <si>
    <t xml:space="preserve">Equal Weight</t>
  </si>
  <si>
    <t xml:space="preserve">Target cut from $1,078</t>
  </si>
  <si>
    <t xml:space="preserve">CONSENSUS</t>
  </si>
  <si>
    <t xml:space="preserve">Number of analysts covering</t>
  </si>
  <si>
    <t xml:space="preserve">stockanalysis.com / CleaRank both cite 25</t>
  </si>
  <si>
    <t xml:space="preserve">Consensus rating</t>
  </si>
  <si>
    <t xml:space="preserve">Hold</t>
  </si>
  <si>
    <t xml:space="preserve">stockanalysis.com. Other aggregators show 'Moderate Buy' — flagged</t>
  </si>
  <si>
    <t xml:space="preserve">Consensus price target ($)</t>
  </si>
  <si>
    <t xml:space="preserve">stockanalysis.com. CleaRank cites $1,150 across 25 analysts</t>
  </si>
  <si>
    <t xml:space="preserve">Implied upside/(downside) to consensus</t>
  </si>
  <si>
    <t xml:space="preserve">Formula</t>
  </si>
  <si>
    <t xml:space="preserve">Lowest visible target ($)</t>
  </si>
  <si>
    <t xml:space="preserve">Highest visible target in July range ($)</t>
  </si>
  <si>
    <t xml:space="preserve">Top of the $1,019-1,073 range cited mid-July</t>
  </si>
  <si>
    <t xml:space="preserve">The spread is the signal. Visible targets run from $900 (JPMorgan, Neutral) to a consensus of ~$1,142, a range of roughly 27% of the share price, and at least one house (Oppenheimer) carries an outright Underperform. That is a genuinely contested name, not a consensus long. Coverage counts and the consensus rating label itself differ across aggregators — see Sources.</t>
  </si>
  <si>
    <t xml:space="preserve">PRICE LEVELS, TREND AND POSITIONING</t>
  </si>
  <si>
    <t xml:space="preserve">Metric</t>
  </si>
  <si>
    <t xml:space="preserve">Source / note</t>
  </si>
  <si>
    <t xml:space="preserve">50-day SMA ($)</t>
  </si>
  <si>
    <t xml:space="preserve">Financhill / CleaRank, mid-Aug-2026</t>
  </si>
  <si>
    <t xml:space="preserve">50-day EMA ($)</t>
  </si>
  <si>
    <t xml:space="preserve">Financhill, mid-Aug-2026</t>
  </si>
  <si>
    <t xml:space="preserve">200-day SMA ($)</t>
  </si>
  <si>
    <t xml:space="preserve">Financhill / CleaRank (a second Financhill figure shows $931.83)</t>
  </si>
  <si>
    <t xml:space="preserve">Price vs. 50-day SMA</t>
  </si>
  <si>
    <t xml:space="preserve">Price vs. 200-day SMA</t>
  </si>
  <si>
    <t xml:space="preserve">RSI (14)</t>
  </si>
  <si>
    <t xml:space="preserve">Financhill 48.75 / CleaRank 47.92 / ChartMill 59.74 — sources disagree</t>
  </si>
  <si>
    <t xml:space="preserve">MACD</t>
  </si>
  <si>
    <t xml:space="preserve">Bollinger band (25) low ($)</t>
  </si>
  <si>
    <t xml:space="preserve">Financhill</t>
  </si>
  <si>
    <t xml:space="preserve">Bollinger band (25) high ($)</t>
  </si>
  <si>
    <t xml:space="preserve">heygotrade</t>
  </si>
  <si>
    <t xml:space="preserve">Position in 52-week range</t>
  </si>
  <si>
    <t xml:space="preserve">Formula: (price - low) / (high - low)</t>
  </si>
  <si>
    <t xml:space="preserve">Trailing 12-month total return</t>
  </si>
  <si>
    <t xml:space="preserve">TradingEconomics as at 13-May-2026 — STALE, treat as directional only</t>
  </si>
  <si>
    <t xml:space="preserve">Implied volatility</t>
  </si>
  <si>
    <t xml:space="preserve">not obtained</t>
  </si>
  <si>
    <t xml:space="preserve">GAP — no dated IV reading found in public sources</t>
  </si>
  <si>
    <t xml:space="preserve">Put/call skew and open interest</t>
  </si>
  <si>
    <t xml:space="preserve">GAP — options positioning not available</t>
  </si>
  <si>
    <t xml:space="preserve">Short interest (% of float)</t>
  </si>
  <si>
    <t xml:space="preserve">GAP — no dated short-interest figure found</t>
  </si>
  <si>
    <t xml:space="preserve">StockTitan</t>
  </si>
  <si>
    <t xml:space="preserve">Insider activity</t>
  </si>
  <si>
    <t xml:space="preserve">net sellers</t>
  </si>
  <si>
    <t xml:space="preserve">Simply Wall St: insiders sold ~$108mm net over 12 months; David Viniar filed intent to sell 68k shares</t>
  </si>
  <si>
    <t xml:space="preserve">Average buyback price paid in 2Q26 ($)</t>
  </si>
  <si>
    <t xml:space="preserve">Derived: $4.00bn / 4.1mm shares repurchased</t>
  </si>
  <si>
    <t xml:space="preserve">Structure: a golden cross is in place (50-day above 200-day) and price sits roughly 11% above the 200-day, so the primary uptrend is intact. But price is below the 50-day SMA with a negative MACD and a neutral RSI near 48 — a stock consolidating a very large advance, not one breaking out. The $1,125 post-earnings high from 14-Jul is the obvious resistance; the 200-day near $930 is the first structural support and sits ~10% below. Note that GS repurchased 4.1mm shares in 2Q26 at an average of roughly $976, i.e. the company itself was buying below where the stock trades today.</t>
  </si>
  <si>
    <t xml:space="preserve">HISTORICAL CATALYSTS</t>
  </si>
  <si>
    <t xml:space="preserve">Event</t>
  </si>
  <si>
    <t xml:space="preserve">Stock reaction / effect</t>
  </si>
  <si>
    <t xml:space="preserve">2026-01-15</t>
  </si>
  <si>
    <t xml:space="preserve">FY2025 results: net revenues $58.28bn, EPS $51.32, ROE 15.0%. Q4 revenue $13.45bn missed on $2.26bn of Apple Card markdowns; EPS beat on a $2.48bn reserve release.</t>
  </si>
  <si>
    <t xml:space="preserve">Fell ~1.9% pre-market to ~$914.78 despite the EPS beat</t>
  </si>
  <si>
    <t xml:space="preserve">2026-03-19</t>
  </si>
  <si>
    <t xml:space="preserve">US banking agencies propose the Basel III Endgame re-proposal, a revised G-SIB surcharge and a revised standardized approach; combined with eSLR reform this cuts G-SIB tier 1 requirements ~6.0% (~$60bn).</t>
  </si>
  <si>
    <t xml:space="preserve">Sector-wide capital-relief tailwind; Governor Barr dissented</t>
  </si>
  <si>
    <t xml:space="preserve">2026-04-13</t>
  </si>
  <si>
    <t xml:space="preserve">1Q26 results: net revenues $17.23bn, EPS $17.55, ROE 19.8%, ROTE 21.3%; record GBM revenues of $12.7bn.</t>
  </si>
  <si>
    <t xml:space="preserve">Second-highest quarter in firm history at the time</t>
  </si>
  <si>
    <t xml:space="preserve">Oppenheimer downgrades GS from Perform to Underperform (also cut BAC and C).</t>
  </si>
  <si>
    <t xml:space="preserve">Explicit call that the names had run ahead of fundamentals</t>
  </si>
  <si>
    <t xml:space="preserve">2Q26 results: record net revenues $20.34bn, record EPS $20.98, ROE 23.5%, ROTE 25.5%; EPS beat consensus by ~46%, revenue by ~26%; dividend raised 11% QoQ to $5.00.</t>
  </si>
  <si>
    <t xml:space="preserve">Rose ~7.7% to ~$1,126 — the 52-week high</t>
  </si>
  <si>
    <t xml:space="preserve">2026-08-10</t>
  </si>
  <si>
    <t xml:space="preserve">Sao Paulo civil police formally accuse two Goldman representatives of fraud in the Oncoclinicas tender-offer dispute.</t>
  </si>
  <si>
    <t xml:space="preserve">Headline legal risk; no financial quantification disclosed</t>
  </si>
  <si>
    <t xml:space="preserve">2026-08-12</t>
  </si>
  <si>
    <t xml:space="preserve">Agrees to acquire ETF provider NEOS Investments for up to ~$2.25-2.3bn — the latest in a run of asset-management bolt-ons (Industry Ventures, Innovator, LCN Capital).</t>
  </si>
  <si>
    <t xml:space="preserve">Adds fee-based AUS; also adds goodwill, which dilutes tangible book</t>
  </si>
  <si>
    <t xml:space="preserve">2026-08-24</t>
  </si>
  <si>
    <t xml:space="preserve">SEC subpoenas GS, JPM, C and BAC for records on prime-brokerage dealings with Situational Awareness, the AI-focused fund that fell from ~$45bn to ~$10bn in July at reported leverage up to 400%.</t>
  </si>
  <si>
    <t xml:space="preserve">No allegation of wrongdoing; investigation at earliest stage</t>
  </si>
  <si>
    <t xml:space="preserve">FORWARD CATALYSTS</t>
  </si>
  <si>
    <t xml:space="preserve">Expected</t>
  </si>
  <si>
    <t xml:space="preserve">Why it matters</t>
  </si>
  <si>
    <t xml:space="preserve">Sep 2026</t>
  </si>
  <si>
    <t xml:space="preserve">Ex-dividend 1-Sep for the raised $5.00 quarterly dividend.</t>
  </si>
  <si>
    <t xml:space="preserve">Confirms the 25% YoY dividend step-up is being paid, not just declared</t>
  </si>
  <si>
    <t xml:space="preserve">Mid-Oct 2026</t>
  </si>
  <si>
    <t xml:space="preserve">3Q26 results (GS has reported mid-October in each of the last two years).</t>
  </si>
  <si>
    <t xml:space="preserve">The single biggest test: is the mid-20s ROTE a run-rate or a peak? Watch the investment-banking backlog, which management says is at a five-year high</t>
  </si>
  <si>
    <t xml:space="preserve">2H 2026</t>
  </si>
  <si>
    <t xml:space="preserve">Finalisation of the March 2026 capital proposals after the 90-day comment period; the Fed signalled stress-testing changes would be finalised 'well before the end of the year'.</t>
  </si>
  <si>
    <t xml:space="preserve">Lower required capital raises sustainable ROTE mechanically — the one lever that could validate the market's ~24% implied ROTE</t>
  </si>
  <si>
    <t xml:space="preserve">2H 2026 / 2027</t>
  </si>
  <si>
    <t xml:space="preserve">Completion of the Apple Card programme transition; the portfolio has been held for sale since 4Q25 and continues to generate markdowns through Platform Solutions.</t>
  </si>
  <si>
    <t xml:space="preserve">Removes a persistent negative revenue line and a source of quarter-to-quarter noise</t>
  </si>
  <si>
    <t xml:space="preserve">Ongoing</t>
  </si>
  <si>
    <t xml:space="preserve">Progress of the SEC inquiry into prime-brokerage exposure to Situational Awareness, and any wider supervisory review of AI-infrastructure lending.</t>
  </si>
  <si>
    <t xml:space="preserve">GS's equities financing (prime) revenue was a record in 2Q26; a regulatory tightening of leverage to concentrated AI funds would hit the fastest-growing revenue line</t>
  </si>
  <si>
    <t xml:space="preserve">Closing and integration of NEOS, plus further asset-management bolt-ons.</t>
  </si>
  <si>
    <t xml:space="preserve">Shifts mix toward fee revenue — but each deal adds goodwill and suppresses tangible book growth</t>
  </si>
  <si>
    <t xml:space="preserve">Oct 2026 (reported)</t>
  </si>
  <si>
    <t xml:space="preserve">A potential Anthropic listing, cited in press coverage as targeting as early as October 2026.</t>
  </si>
  <si>
    <t xml:space="preserve">Reported, not confirmed — treat as an indicator of the ECM pipeline rather than a dated event</t>
  </si>
  <si>
    <t xml:space="preserve">SOURCES &amp; DATA-QUALITY NOTES</t>
  </si>
  <si>
    <t xml:space="preserve">GENERAL</t>
  </si>
  <si>
    <t xml:space="preserve">Research compiled 30-Aug-2026 from public secondary sources: GS earnings releases and 8-K exhibits, the 2Q26 earnings results presentation, financial media, law-firm regulatory summaries and data aggregators. Not a Bloomberg or FactSet terminal pull. SEC EDGAR's XBRL API and FRED were unreachable from this environment (HTTP 403 at the egress proxy), so filing-level figures were taken from press-release text reproduced by EDGAR-mirroring sources rather than parsed from XBRL.</t>
  </si>
  <si>
    <t xml:space="preserve">COMPANY FILINGS AND PRESENTATIONS</t>
  </si>
  <si>
    <t xml:space="preserve">2Q26 8-K, press release and earnings presentation (14-Jul-2026) — sec.gov/Archives/edgar/data/886982/000088698226000294/</t>
  </si>
  <si>
    <t xml:space="preserve">1Q26 earnings results (13-Apr-2026) — sec.gov/Archives/edgar/data/886982/000088698226000096/a1q26gsearningsresults.htm</t>
  </si>
  <si>
    <t xml:space="preserve">FY2025 / 4Q25 earnings results (15-Jan-2026) — goldmansachs.com/pressroom/press-releases/2026/2026-01-15-q4-results</t>
  </si>
  <si>
    <t xml:space="preserve">3Q25 earnings results and 10-Q (14-Oct-2025) — sec.gov/Archives/edgar/data/886982/000119312525238058/ and .../000088698225001411/gs-20250930.htm</t>
  </si>
  <si>
    <t xml:space="preserve">2Q25 earnings results (16-Jul-2025) — sec.gov/Archives/edgar/data/886982/000119312525159560/d41877dex991.htm</t>
  </si>
  <si>
    <t xml:space="preserve">FY2024 / 4Q24 earnings results (15-Jan-2025) — sec.gov/Archives/edgar/data/886982/000119312525006554/d903229dex991.htm</t>
  </si>
  <si>
    <t xml:space="preserve">MARKET, VALUATION AND TECHNICAL DATA</t>
  </si>
  <si>
    <t xml:space="preserve">stockanalysis.com/stocks/gs/financials/ and /revenue/ — annual and segment revenue, TTM figures, P/E, close prices</t>
  </si>
  <si>
    <t xml:space="preserve">heygotrade.com/en/us-stock/gs/ — 52-week range; kraken.com/stocks/gs and cnn.com/markets/stocks/GS — recent quotes</t>
  </si>
  <si>
    <t xml:space="preserve">financhill.com/stock-price-chart/gs-technical-analysis, clearank.com/stock/goldman-sachs-gs/, chartmill.com — moving averages, RSI, MACD</t>
  </si>
  <si>
    <t xml:space="preserve">gurufocus.com/term/price-to-tangible-book/JPM and /MS — peer P/TBV and industry medians</t>
  </si>
  <si>
    <t xml:space="preserve">theglobeandmail.com / stockstory (15-Jul-2026) — Morgan Stanley 2Q26 TBVPS of $53.18</t>
  </si>
  <si>
    <t xml:space="preserve">tradingkey.com — Morgan Stanley 2Q26 ROTCE of 26.6% and recent price context</t>
  </si>
  <si>
    <t xml:space="preserve">indmoney.com/blog/us-stocks/us-bank-earnings-q2-jpm-bac-gs-wfc-citi-stock-earnings (14-Jul-2026) — BAC P/TBV, analyst actions</t>
  </si>
  <si>
    <t xml:space="preserve">REGULATORY AND NEWS</t>
  </si>
  <si>
    <t xml:space="preserve">federalreserve.gov/newsevents/pressreleases/barr-statement-20260319.htm — quantified effect of the March 2026 capital proposals</t>
  </si>
  <si>
    <t xml:space="preserve">hklaw.com, mayerbrown.com, arnoldporter.com, sullcrom.com, pwc.com — March 2026 capital proposal summaries</t>
  </si>
  <si>
    <t xml:space="preserve">everycrsreport.com/reports/IN12680.html — CRS estimate of the net capital effect</t>
  </si>
  <si>
    <t xml:space="preserve">reuters.com / cnbc.com / qz.com (24-25 Aug 2026) — SEC subpoenas over Situational Awareness</t>
  </si>
  <si>
    <t xml:space="preserve">reuters.com (10-Aug-2026) — Brazilian police accusations over the Oncoclinicas tender offer</t>
  </si>
  <si>
    <t xml:space="preserve">reuters.com (12-Aug-2026) — NEOS Investments acquisition</t>
  </si>
  <si>
    <t xml:space="preserve">KEY DATA-QUALITY FLAGS — do not treat these as settled without verification</t>
  </si>
  <si>
    <t xml:space="preserve">1. MARKET CAP: four sources gave $301.07bn (StockTitan), $305.39bn (Kraken), $311.29bn (heygotrade) and $314.70bn (stockanalysis). The model computes ~$308.6bn from 298.4mm basic shares at $1,033.99. The spread is roughly $14bn and is not reconciled.</t>
  </si>
  <si>
    <t xml:space="preserve">2. REVENUE DEFINITION: stockanalysis.com shows BOTH $58,283mm and $59,396mm for FY2025, and $53,512mm and $52,164mm for FY2024, on the same page, because its S&amp;P Global feed and its Fiscal.ai segment feed use different revenue definitions. This model uses the GS-reported NET REVENUES series ($58.28bn / $53.51bn), which ties to the company's own press releases. TipRanks separately shows a 'total revenue' of $126.85bn for 2024, which is gross interest-inclusive revenue and is not comparable.</t>
  </si>
  <si>
    <t xml:space="preserve">3. NET EARNINGS vs NET EARNINGS TO COMMON: FY2025 net earnings were $17.18bn per the company; aggregators show $16.24bn. The difference is preferred dividends. Both are correct for their definition; EPS is computed off the latter.</t>
  </si>
  <si>
    <t xml:space="preserve">4. STALE AGGREGATOR QUOTES: TipRanks peer-comparison pages served GS at $786-$804 and JPM at $260-$316 while researching this report, i.e. cached from late 2025. A widely-circulated FIG valuation guide dated March 2026 states GS trades at 'approximately 1.6x' P/TBV; computed from the company's own disclosed 2Q26 TBVPS and the 28-Aug close, the actual figure is ~3.07x. Any single-source multiple for this sector should be recomputed from price and disclosed book value.</t>
  </si>
  <si>
    <t xml:space="preserve">5. DERIVED, NOT DISCLOSED: 1Q25 ROE (16.9%), 2Q25 ROTE (13.6%), 2Q25 and 1Q26 provisions, operating expenses, pre-tax earnings, net earnings to common and efficiency ratios, and 2Q26 diluted share count are computed from disclosed percentage changes or ratios rather than read directly from a filing. They are marked in column K of the Quarterly Financials tab.</t>
  </si>
  <si>
    <t xml:space="preserve">6. 52-WEEK RANGE: heygotrade shows $691.30-$1,125.00; Robinhood showed $439.38-$984.70 as at 31-Mar-2026; an investing.com note in Jan-2026 cited a 52-week high of $972.24. These are consistent with a rolling window, but confirm the current window before using it.</t>
  </si>
  <si>
    <t xml:space="preserve">7. TECHNICAL INDICATORS CONFLICT: RSI(14) was quoted at 47.92, 48.75 and 59.74 by three sources within the same fortnight, and one source (Intellectia) reported a 200-day SMA of $860.58 against a price of $1,092.61 when others showed ~$930. Technical levels here should be re-read off a live chart.</t>
  </si>
  <si>
    <t xml:space="preserve">8. GAPS NOT CLOSED: no dated implied-volatility reading, no options open-interest or put/call skew, no short-interest percentage, and no dated risk-free rate (FRED was unreachable) were obtained. The cost of equity in the driver model is therefore a judgment input, not a CAPM build-up, and the technical section has no volatility or positioning data.</t>
  </si>
  <si>
    <t xml:space="preserve">9. FORWARD ESTIMATES: the $20.0bn NTM net-earnings-to-common assumption in the tangible book roll-forward is this model's own figure, cross-checked against a 14.82x forward P/E (implying ~$69.8 forward EPS). It is not a published consensus number.</t>
  </si>
  <si>
    <t xml:space="preserve">10. THE ANTHROPIC LISTING referenced in the forward catalysts is press speculation reported in coverage of the Situational Awareness episode, not a company-confirmed or scheduled event.</t>
  </si>
</sst>
</file>

<file path=xl/styles.xml><?xml version="1.0" encoding="utf-8"?>
<styleSheet xmlns="http://schemas.openxmlformats.org/spreadsheetml/2006/main">
  <numFmts count="12">
    <numFmt numFmtId="164" formatCode="General"/>
    <numFmt numFmtId="165" formatCode="\$#,##0.00;&quot;($&quot;#,##0.00\);\-"/>
    <numFmt numFmtId="166" formatCode="#,##0.0;\(#,##0.0\);\-"/>
    <numFmt numFmtId="167" formatCode="\$#,##0;&quot;($&quot;#,##0\);\-"/>
    <numFmt numFmtId="168" formatCode="0.00\x"/>
    <numFmt numFmtId="169" formatCode="0.0%;\(0.0%\);\-"/>
    <numFmt numFmtId="170" formatCode="#,##0;\(#,##0\);\-"/>
    <numFmt numFmtId="171" formatCode="0.0%"/>
    <numFmt numFmtId="172" formatCode="0%;\(0%\);\-"/>
    <numFmt numFmtId="173" formatCode="0.000"/>
    <numFmt numFmtId="174" formatCode="0.0"/>
    <numFmt numFmtId="175" formatCode="0.00"/>
  </numFmts>
  <fonts count="17">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1"/>
      <color rgb="FF595959"/>
      <name val="Arial"/>
      <family val="0"/>
      <charset val="1"/>
    </font>
    <font>
      <i val="true"/>
      <sz val="9"/>
      <color rgb="FF595959"/>
      <name val="Arial"/>
      <family val="0"/>
      <charset val="1"/>
    </font>
    <font>
      <b val="true"/>
      <sz val="10"/>
      <name val="Arial"/>
      <family val="0"/>
      <charset val="1"/>
    </font>
    <font>
      <sz val="10"/>
      <color rgb="FF0000FF"/>
      <name val="Arial"/>
      <family val="0"/>
      <charset val="1"/>
    </font>
    <font>
      <b val="true"/>
      <sz val="12"/>
      <color rgb="FFFFFFFF"/>
      <name val="Arial"/>
      <family val="0"/>
      <charset val="1"/>
    </font>
    <font>
      <sz val="10"/>
      <color rgb="FF000000"/>
      <name val="Arial"/>
      <family val="0"/>
      <charset val="1"/>
    </font>
    <font>
      <sz val="10"/>
      <color rgb="FF008000"/>
      <name val="Arial"/>
      <family val="0"/>
      <charset val="1"/>
    </font>
    <font>
      <b val="true"/>
      <sz val="10"/>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0"/>
      <color rgb="FF0000FF"/>
      <name val="Arial"/>
      <family val="0"/>
      <charset val="1"/>
    </font>
  </fonts>
  <fills count="8">
    <fill>
      <patternFill patternType="none"/>
    </fill>
    <fill>
      <patternFill patternType="gray125"/>
    </fill>
    <fill>
      <patternFill patternType="solid">
        <fgColor rgb="FF2E5395"/>
        <bgColor rgb="FF1F3864"/>
      </patternFill>
    </fill>
    <fill>
      <patternFill patternType="solid">
        <fgColor rgb="FFFFFF00"/>
        <bgColor rgb="FFFFFF00"/>
      </patternFill>
    </fill>
    <fill>
      <patternFill patternType="solid">
        <fgColor rgb="FF1F3864"/>
        <bgColor rgb="FF333333"/>
      </patternFill>
    </fill>
    <fill>
      <patternFill patternType="solid">
        <fgColor rgb="FFF2F2F2"/>
        <bgColor rgb="FFFFFFFF"/>
      </patternFill>
    </fill>
    <fill>
      <patternFill patternType="solid">
        <fgColor rgb="FFFCE4D6"/>
        <bgColor rgb="FFF2F2F2"/>
      </patternFill>
    </fill>
    <fill>
      <patternFill patternType="solid">
        <fgColor rgb="FFD9E2F3"/>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true" applyAlignment="true" applyProtection="false">
      <alignment horizontal="left" vertical="center" textRotation="0" wrapText="false" indent="1"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4" fontId="10" fillId="5" borderId="1" xfId="0" applyFont="true" applyBorder="true" applyAlignment="false" applyProtection="false">
      <alignment horizontal="general" vertical="bottom" textRotation="0" wrapText="false" indent="0" shrinkToFit="false"/>
      <protection locked="true" hidden="false"/>
    </xf>
    <xf numFmtId="167" fontId="8" fillId="5"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7" fontId="7" fillId="5"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5" fontId="8" fillId="5"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8" fillId="5"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9" fontId="7" fillId="5"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9" fontId="8" fillId="5"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70" fontId="8" fillId="5" borderId="1" xfId="0" applyFont="true" applyBorder="true" applyAlignment="false" applyProtection="false">
      <alignment horizontal="general" vertical="bottom" textRotation="0" wrapText="false" indent="0" shrinkToFit="false"/>
      <protection locked="true" hidden="false"/>
    </xf>
    <xf numFmtId="169" fontId="10" fillId="0" borderId="1" xfId="0" applyFont="true" applyBorder="true" applyAlignment="false" applyProtection="false">
      <alignment horizontal="general" vertical="bottom" textRotation="0" wrapText="false" indent="0" shrinkToFit="false"/>
      <protection locked="true" hidden="false"/>
    </xf>
    <xf numFmtId="169" fontId="10" fillId="5" borderId="1" xfId="0" applyFont="true" applyBorder="tru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9" fontId="8" fillId="3"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9" fontId="7" fillId="6"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9" fontId="16" fillId="7" borderId="0" xfId="0" applyFont="true" applyBorder="false" applyAlignment="true" applyProtection="false">
      <alignment horizontal="center" vertical="center"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7" fontId="8" fillId="3"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72" fontId="10"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4" fontId="7" fillId="7"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73" fontId="10" fillId="0" borderId="0" xfId="0" applyFont="true" applyBorder="false" applyAlignment="false" applyProtection="false">
      <alignment horizontal="general" vertical="bottom" textRotation="0" wrapText="false" indent="0" shrinkToFit="false"/>
      <protection locked="true" hidden="false"/>
    </xf>
    <xf numFmtId="169" fontId="8" fillId="3" borderId="1" xfId="0" applyFont="true" applyBorder="true" applyAlignment="false" applyProtection="false">
      <alignment horizontal="general" vertical="bottom" textRotation="0" wrapText="false" indent="0" shrinkToFit="false"/>
      <protection locked="true" hidden="false"/>
    </xf>
    <xf numFmtId="172" fontId="8" fillId="3"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5" fontId="11" fillId="0" borderId="1" xfId="0" applyFont="true" applyBorder="true" applyAlignment="true" applyProtection="false">
      <alignment horizontal="center" vertical="center"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9" fontId="10" fillId="0" borderId="1" xfId="0" applyFont="true" applyBorder="true" applyAlignment="true" applyProtection="false">
      <alignment horizontal="center" vertical="center" textRotation="0" wrapText="false" indent="0" shrinkToFit="false"/>
      <protection locked="true" hidden="false"/>
    </xf>
    <xf numFmtId="174" fontId="8" fillId="0" borderId="1" xfId="0" applyFont="true" applyBorder="true" applyAlignment="true" applyProtection="false">
      <alignment horizontal="center" vertical="center" textRotation="0" wrapText="false" indent="0" shrinkToFit="false"/>
      <protection locked="true" hidden="false"/>
    </xf>
    <xf numFmtId="175" fontId="8" fillId="0" borderId="1" xfId="0" applyFont="true" applyBorder="true" applyAlignment="true" applyProtection="false">
      <alignment horizontal="center" vertical="center" textRotation="0" wrapText="false" indent="0" shrinkToFit="false"/>
      <protection locked="true" hidden="false"/>
    </xf>
    <xf numFmtId="172" fontId="10" fillId="0" borderId="1" xfId="0" applyFont="true" applyBorder="true" applyAlignment="true" applyProtection="false">
      <alignment horizontal="center" vertical="center" textRotation="0" wrapText="false" indent="0" shrinkToFit="false"/>
      <protection locked="true" hidden="false"/>
    </xf>
    <xf numFmtId="169" fontId="8" fillId="0" borderId="1" xfId="0" applyFont="true" applyBorder="true" applyAlignment="true" applyProtection="false">
      <alignment horizontal="center" vertical="center" textRotation="0" wrapText="false" indent="0"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4" fontId="9" fillId="2" borderId="0" xfId="0" applyFont="true" applyBorder="false" applyAlignment="true" applyProtection="false">
      <alignment horizontal="left" vertical="center" textRotation="0" wrapText="false" indent="1"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BE4B48"/>
      <rgbColor rgb="FFF2F2F2"/>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4A7EBB"/>
      <rgbColor rgb="FF33CCCC"/>
      <rgbColor rgb="FF98B855"/>
      <rgbColor rgb="FFFFCC00"/>
      <rgbColor rgb="FFFF9900"/>
      <rgbColor rgb="FFFF6600"/>
      <rgbColor rgb="FF595959"/>
      <rgbColor rgb="FF969696"/>
      <rgbColor rgb="FF1F3864"/>
      <rgbColor rgb="FF4F81BD"/>
      <rgbColor rgb="FF003300"/>
      <rgbColor rgb="FF333300"/>
      <rgbColor rgb="FF993300"/>
      <rgbColor rgb="FFC0504D"/>
      <rgbColor rgb="FF2E53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Net revenues and net earnings ($mm)</a:t>
            </a:r>
          </a:p>
        </c:rich>
      </c:tx>
      <c:overlay val="0"/>
      <c:spPr>
        <a:noFill/>
        <a:ln w="0">
          <a:noFill/>
        </a:ln>
      </c:spPr>
    </c:title>
    <c:autoTitleDeleted val="0"/>
    <c:plotArea>
      <c:barChart>
        <c:barDir val="col"/>
        <c:grouping val="clustered"/>
        <c:varyColors val="0"/>
        <c:ser>
          <c:idx val="0"/>
          <c:order val="0"/>
          <c:tx>
            <c:strRef>
              <c:f>'Quarterly Financials'!B9</c:f>
              <c:strCache>
                <c:ptCount val="1"/>
                <c:pt idx="0">
                  <c:v>Net revenues (total)</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'Quarterly Financials'!$C$5:$J$5</c:f>
              <c:strCache>
                <c:ptCount val="8"/>
                <c:pt idx="0">
                  <c:v>3Q24</c:v>
                </c:pt>
                <c:pt idx="1">
                  <c:v>4Q24</c:v>
                </c:pt>
                <c:pt idx="2">
                  <c:v>1Q25</c:v>
                </c:pt>
                <c:pt idx="3">
                  <c:v>2Q25</c:v>
                </c:pt>
                <c:pt idx="4">
                  <c:v>3Q25</c:v>
                </c:pt>
                <c:pt idx="5">
                  <c:v>4Q25</c:v>
                </c:pt>
                <c:pt idx="6">
                  <c:v>1Q26</c:v>
                </c:pt>
                <c:pt idx="7">
                  <c:v>2Q26</c:v>
                </c:pt>
              </c:strCache>
            </c:strRef>
          </c:cat>
          <c:val>
            <c:numRef>
              <c:f>'Quarterly Financials'!$C$9:$J$9</c:f>
              <c:numCache>
                <c:formatCode>\$#,##0;"($"#,##0\);\-</c:formatCode>
                <c:ptCount val="8"/>
                <c:pt idx="0">
                  <c:v>12700</c:v>
                </c:pt>
                <c:pt idx="1">
                  <c:v>13870</c:v>
                </c:pt>
                <c:pt idx="2">
                  <c:v>15060</c:v>
                </c:pt>
                <c:pt idx="3">
                  <c:v>14583</c:v>
                </c:pt>
                <c:pt idx="4">
                  <c:v>15180</c:v>
                </c:pt>
                <c:pt idx="5">
                  <c:v>13450</c:v>
                </c:pt>
                <c:pt idx="6">
                  <c:v>17227</c:v>
                </c:pt>
                <c:pt idx="7">
                  <c:v>20338</c:v>
                </c:pt>
              </c:numCache>
            </c:numRef>
          </c:val>
        </c:ser>
        <c:ser>
          <c:idx val="1"/>
          <c:order val="1"/>
          <c:tx>
            <c:strRef>
              <c:f>'Quarterly Financials'!B13</c:f>
              <c:strCache>
                <c:ptCount val="1"/>
                <c:pt idx="0">
                  <c:v>Net earnings</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'Quarterly Financials'!$C$5:$J$5</c:f>
              <c:strCache>
                <c:ptCount val="8"/>
                <c:pt idx="0">
                  <c:v>3Q24</c:v>
                </c:pt>
                <c:pt idx="1">
                  <c:v>4Q24</c:v>
                </c:pt>
                <c:pt idx="2">
                  <c:v>1Q25</c:v>
                </c:pt>
                <c:pt idx="3">
                  <c:v>2Q25</c:v>
                </c:pt>
                <c:pt idx="4">
                  <c:v>3Q25</c:v>
                </c:pt>
                <c:pt idx="5">
                  <c:v>4Q25</c:v>
                </c:pt>
                <c:pt idx="6">
                  <c:v>1Q26</c:v>
                </c:pt>
                <c:pt idx="7">
                  <c:v>2Q26</c:v>
                </c:pt>
              </c:strCache>
            </c:strRef>
          </c:cat>
          <c:val>
            <c:numRef>
              <c:f>'Quarterly Financials'!$C$13:$J$13</c:f>
              <c:numCache>
                <c:formatCode>\$#,##0;"($"#,##0\);\-</c:formatCode>
                <c:ptCount val="8"/>
                <c:pt idx="0">
                  <c:v>2990</c:v>
                </c:pt>
                <c:pt idx="1">
                  <c:v>4110</c:v>
                </c:pt>
                <c:pt idx="2">
                  <c:v>4740</c:v>
                </c:pt>
                <c:pt idx="3">
                  <c:v>3720</c:v>
                </c:pt>
                <c:pt idx="4">
                  <c:v>4100</c:v>
                </c:pt>
                <c:pt idx="5">
                  <c:v>4620</c:v>
                </c:pt>
                <c:pt idx="6">
                  <c:v>5630</c:v>
                </c:pt>
                <c:pt idx="7">
                  <c:v>6628</c:v>
                </c:pt>
              </c:numCache>
            </c:numRef>
          </c:val>
        </c:ser>
        <c:gapWidth val="150"/>
        <c:overlap val="0"/>
        <c:axId val="33701421"/>
        <c:axId val="33656928"/>
      </c:barChart>
      <c:catAx>
        <c:axId val="3370142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656928"/>
        <c:crosses val="autoZero"/>
        <c:auto val="1"/>
        <c:lblAlgn val="ctr"/>
        <c:lblOffset val="100"/>
        <c:noMultiLvlLbl val="0"/>
      </c:catAx>
      <c:valAx>
        <c:axId val="3365692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$mm</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70142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ROE, ROTE and CET1 ratio</a:t>
            </a:r>
          </a:p>
        </c:rich>
      </c:tx>
      <c:overlay val="0"/>
      <c:spPr>
        <a:noFill/>
        <a:ln w="0">
          <a:noFill/>
        </a:ln>
      </c:spPr>
    </c:title>
    <c:autoTitleDeleted val="0"/>
    <c:plotArea>
      <c:lineChart>
        <c:grouping val="standard"/>
        <c:varyColors val="0"/>
        <c:ser>
          <c:idx val="0"/>
          <c:order val="0"/>
          <c:tx>
            <c:strRef>
              <c:f>'Quarterly Financials'!B22</c:f>
              <c:strCache>
                <c:ptCount val="1"/>
                <c:pt idx="0">
                  <c:v>ROE (annualised)</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'Quarterly Financials'!$C$5:$J$5</c:f>
              <c:strCache>
                <c:ptCount val="8"/>
                <c:pt idx="0">
                  <c:v>3Q24</c:v>
                </c:pt>
                <c:pt idx="1">
                  <c:v>4Q24</c:v>
                </c:pt>
                <c:pt idx="2">
                  <c:v>1Q25</c:v>
                </c:pt>
                <c:pt idx="3">
                  <c:v>2Q25</c:v>
                </c:pt>
                <c:pt idx="4">
                  <c:v>3Q25</c:v>
                </c:pt>
                <c:pt idx="5">
                  <c:v>4Q25</c:v>
                </c:pt>
                <c:pt idx="6">
                  <c:v>1Q26</c:v>
                </c:pt>
                <c:pt idx="7">
                  <c:v>2Q26</c:v>
                </c:pt>
              </c:strCache>
            </c:strRef>
          </c:cat>
          <c:val>
            <c:numRef>
              <c:f>'Quarterly Financials'!$C$22:$J$22</c:f>
              <c:numCache>
                <c:formatCode>0.0%;\(0.0%\);\-</c:formatCode>
                <c:ptCount val="8"/>
                <c:pt idx="0">
                  <c:v>0.104</c:v>
                </c:pt>
                <c:pt idx="1">
                  <c:v>0.146</c:v>
                </c:pt>
                <c:pt idx="2">
                  <c:v>0.169</c:v>
                </c:pt>
                <c:pt idx="3">
                  <c:v>0.128</c:v>
                </c:pt>
                <c:pt idx="4">
                  <c:v>0.142</c:v>
                </c:pt>
                <c:pt idx="5">
                  <c:v>0.16</c:v>
                </c:pt>
                <c:pt idx="6">
                  <c:v>0.198</c:v>
                </c:pt>
                <c:pt idx="7">
                  <c:v>0.235</c:v>
                </c:pt>
              </c:numCache>
            </c:numRef>
          </c:val>
          <c:smooth val="0"/>
        </c:ser>
        <c:ser>
          <c:idx val="1"/>
          <c:order val="1"/>
          <c:tx>
            <c:strRef>
              <c:f>'Quarterly Financials'!B23</c:f>
              <c:strCache>
                <c:ptCount val="1"/>
                <c:pt idx="0">
                  <c:v>ROTE (annualised)</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'Quarterly Financials'!$C$5:$J$5</c:f>
              <c:strCache>
                <c:ptCount val="8"/>
                <c:pt idx="0">
                  <c:v>3Q24</c:v>
                </c:pt>
                <c:pt idx="1">
                  <c:v>4Q24</c:v>
                </c:pt>
                <c:pt idx="2">
                  <c:v>1Q25</c:v>
                </c:pt>
                <c:pt idx="3">
                  <c:v>2Q25</c:v>
                </c:pt>
                <c:pt idx="4">
                  <c:v>3Q25</c:v>
                </c:pt>
                <c:pt idx="5">
                  <c:v>4Q25</c:v>
                </c:pt>
                <c:pt idx="6">
                  <c:v>1Q26</c:v>
                </c:pt>
                <c:pt idx="7">
                  <c:v>2Q26</c:v>
                </c:pt>
              </c:strCache>
            </c:strRef>
          </c:cat>
          <c:val>
            <c:numRef>
              <c:f>'Quarterly Financials'!$C$23:$J$23</c:f>
              <c:numCache>
                <c:formatCode>0.0%;\(0.0%\);\-</c:formatCode>
                <c:ptCount val="8"/>
                <c:pt idx="1">
                  <c:v>0.155</c:v>
                </c:pt>
                <c:pt idx="3">
                  <c:v>0.136</c:v>
                </c:pt>
                <c:pt idx="4">
                  <c:v>0.152</c:v>
                </c:pt>
                <c:pt idx="5">
                  <c:v>0.171</c:v>
                </c:pt>
                <c:pt idx="6">
                  <c:v>0.213</c:v>
                </c:pt>
                <c:pt idx="7">
                  <c:v>0.255</c:v>
                </c:pt>
              </c:numCache>
            </c:numRef>
          </c:val>
          <c:smooth val="0"/>
        </c:ser>
        <c:ser>
          <c:idx val="2"/>
          <c:order val="2"/>
          <c:tx>
            <c:strRef>
              <c:f>'Quarterly Financials'!B25</c:f>
              <c:strCache>
                <c:ptCount val="1"/>
                <c:pt idx="0">
                  <c:v>CET1 ratio (Standardized)</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'Quarterly Financials'!$C$5:$J$5</c:f>
              <c:strCache>
                <c:ptCount val="8"/>
                <c:pt idx="0">
                  <c:v>3Q24</c:v>
                </c:pt>
                <c:pt idx="1">
                  <c:v>4Q24</c:v>
                </c:pt>
                <c:pt idx="2">
                  <c:v>1Q25</c:v>
                </c:pt>
                <c:pt idx="3">
                  <c:v>2Q25</c:v>
                </c:pt>
                <c:pt idx="4">
                  <c:v>3Q25</c:v>
                </c:pt>
                <c:pt idx="5">
                  <c:v>4Q25</c:v>
                </c:pt>
                <c:pt idx="6">
                  <c:v>1Q26</c:v>
                </c:pt>
                <c:pt idx="7">
                  <c:v>2Q26</c:v>
                </c:pt>
              </c:strCache>
            </c:strRef>
          </c:cat>
          <c:val>
            <c:numRef>
              <c:f>'Quarterly Financials'!$C$25:$J$25</c:f>
              <c:numCache>
                <c:formatCode>0.0%;\(0.0%\);\-</c:formatCode>
                <c:ptCount val="8"/>
                <c:pt idx="5">
                  <c:v>0.143</c:v>
                </c:pt>
                <c:pt idx="6">
                  <c:v>0.125</c:v>
                </c:pt>
                <c:pt idx="7">
                  <c:v>0.129</c:v>
                </c:pt>
              </c:numCache>
            </c:numRef>
          </c:val>
          <c:smooth val="0"/>
        </c:ser>
        <c:hiLowLines>
          <c:spPr>
            <a:ln w="0">
              <a:noFill/>
            </a:ln>
          </c:spPr>
        </c:hiLowLines>
        <c:marker val="0"/>
        <c:axId val="893329"/>
        <c:axId val="67397899"/>
      </c:lineChart>
      <c:catAx>
        <c:axId val="89332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397899"/>
        <c:crosses val="autoZero"/>
        <c:auto val="1"/>
        <c:lblAlgn val="ctr"/>
        <c:lblOffset val="100"/>
        <c:noMultiLvlLbl val="0"/>
      </c:catAx>
      <c:valAx>
        <c:axId val="6739789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332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38</xdr:row>
      <xdr:rowOff>0</xdr:rowOff>
    </xdr:from>
    <xdr:to>
      <xdr:col>6</xdr:col>
      <xdr:colOff>57960</xdr:colOff>
      <xdr:row>52</xdr:row>
      <xdr:rowOff>32760</xdr:rowOff>
    </xdr:to>
    <xdr:graphicFrame>
      <xdr:nvGraphicFramePr>
        <xdr:cNvPr id="0" name="Chart 1"/>
        <xdr:cNvGraphicFramePr/>
      </xdr:nvGraphicFramePr>
      <xdr:xfrm>
        <a:off x="141120" y="9487080"/>
        <a:ext cx="611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55</xdr:row>
      <xdr:rowOff>0</xdr:rowOff>
    </xdr:from>
    <xdr:to>
      <xdr:col>6</xdr:col>
      <xdr:colOff>57960</xdr:colOff>
      <xdr:row>69</xdr:row>
      <xdr:rowOff>32400</xdr:rowOff>
    </xdr:to>
    <xdr:graphicFrame>
      <xdr:nvGraphicFramePr>
        <xdr:cNvPr id="1" name="Chart 2"/>
        <xdr:cNvGraphicFramePr/>
      </xdr:nvGraphicFramePr>
      <xdr:xfrm>
        <a:off x="141120" y="12725280"/>
        <a:ext cx="611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5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4" min="3" style="0" width="18"/>
    <col collapsed="false" customWidth="true" hidden="false" outlineLevel="0" max="5" min="5" style="0" width="16"/>
    <col collapsed="false" customWidth="true" hidden="false" outlineLevel="0" max="6" min="6" style="0" width="52"/>
    <col collapsed="false" customWidth="true" hidden="false" outlineLevel="0" max="7" min="7" style="0" width="3"/>
  </cols>
  <sheetData>
    <row r="2" customFormat="false" ht="19.7" hidden="false" customHeight="false" outlineLevel="0" collapsed="false">
      <c r="B2" s="1" t="s">
        <v>0</v>
      </c>
    </row>
    <row r="3" customFormat="false" ht="15" hidden="false" customHeight="false" outlineLevel="0" collapsed="false">
      <c r="B3" s="2" t="s">
        <v>1</v>
      </c>
    </row>
    <row r="4" customFormat="false" ht="15" hidden="false" customHeight="false" outlineLevel="0" collapsed="false">
      <c r="B4" s="3" t="s">
        <v>2</v>
      </c>
    </row>
    <row r="5" customFormat="false" ht="15" hidden="false" customHeight="false" outlineLevel="0" collapsed="false">
      <c r="B5" s="4" t="s">
        <v>3</v>
      </c>
      <c r="C5" s="5" t="s">
        <v>4</v>
      </c>
    </row>
    <row r="7" customFormat="false" ht="19.5" hidden="false" customHeight="true" outlineLevel="0" collapsed="false">
      <c r="A7" s="6" t="s">
        <v>5</v>
      </c>
      <c r="B7" s="6"/>
      <c r="C7" s="6"/>
      <c r="D7" s="6"/>
      <c r="E7" s="6"/>
    </row>
    <row r="8" customFormat="false" ht="15" hidden="false" customHeight="false" outlineLevel="0" collapsed="false">
      <c r="B8" s="7" t="s">
        <v>6</v>
      </c>
      <c r="C8" s="8" t="n">
        <v>1033.99</v>
      </c>
      <c r="F8" s="3" t="s">
        <v>7</v>
      </c>
    </row>
    <row r="9" customFormat="false" ht="15" hidden="false" customHeight="false" outlineLevel="0" collapsed="false">
      <c r="B9" s="7" t="s">
        <v>8</v>
      </c>
      <c r="C9" s="8" t="n">
        <v>1125</v>
      </c>
      <c r="F9" s="3" t="s">
        <v>9</v>
      </c>
    </row>
    <row r="10" customFormat="false" ht="15" hidden="false" customHeight="false" outlineLevel="0" collapsed="false">
      <c r="B10" s="7" t="s">
        <v>10</v>
      </c>
      <c r="C10" s="8" t="n">
        <v>691.3</v>
      </c>
      <c r="F10" s="3" t="s">
        <v>11</v>
      </c>
    </row>
    <row r="11" customFormat="false" ht="15" hidden="false" customHeight="false" outlineLevel="0" collapsed="false">
      <c r="B11" s="7" t="s">
        <v>12</v>
      </c>
      <c r="C11" s="9" t="n">
        <v>298.4</v>
      </c>
      <c r="F11" s="3" t="s">
        <v>13</v>
      </c>
    </row>
    <row r="12" customFormat="false" ht="15" hidden="false" customHeight="false" outlineLevel="0" collapsed="false">
      <c r="B12" s="7" t="s">
        <v>14</v>
      </c>
      <c r="C12" s="9" t="n">
        <v>289.53</v>
      </c>
      <c r="F12" s="3" t="s">
        <v>15</v>
      </c>
    </row>
    <row r="13" customFormat="false" ht="15" hidden="false" customHeight="false" outlineLevel="0" collapsed="false">
      <c r="B13" s="7" t="s">
        <v>16</v>
      </c>
      <c r="C13" s="10" t="n">
        <f aca="false">Cover_Price*Cover_Shares</f>
        <v>308542.616</v>
      </c>
      <c r="F13" s="3" t="s">
        <v>17</v>
      </c>
    </row>
    <row r="14" customFormat="false" ht="15" hidden="false" customHeight="false" outlineLevel="0" collapsed="false">
      <c r="B14" s="7" t="s">
        <v>18</v>
      </c>
      <c r="C14" s="8" t="n">
        <v>367.67</v>
      </c>
      <c r="F14" s="3" t="s">
        <v>19</v>
      </c>
    </row>
    <row r="15" customFormat="false" ht="15" hidden="false" customHeight="false" outlineLevel="0" collapsed="false">
      <c r="B15" s="7" t="s">
        <v>20</v>
      </c>
      <c r="C15" s="8" t="n">
        <v>336.61</v>
      </c>
      <c r="F15" s="3" t="s">
        <v>21</v>
      </c>
    </row>
    <row r="16" customFormat="false" ht="15" hidden="false" customHeight="false" outlineLevel="0" collapsed="false">
      <c r="B16" s="7" t="s">
        <v>22</v>
      </c>
      <c r="C16" s="11" t="n">
        <f aca="false">Cover_Price/C15</f>
        <v>3.07177445708684</v>
      </c>
      <c r="F16" s="3" t="s">
        <v>23</v>
      </c>
    </row>
    <row r="17" customFormat="false" ht="15" hidden="false" customHeight="false" outlineLevel="0" collapsed="false">
      <c r="B17" s="7" t="s">
        <v>24</v>
      </c>
      <c r="C17" s="8" t="n">
        <v>64.63</v>
      </c>
      <c r="F17" s="3" t="s">
        <v>25</v>
      </c>
    </row>
    <row r="18" customFormat="false" ht="15" hidden="false" customHeight="false" outlineLevel="0" collapsed="false">
      <c r="B18" s="7" t="s">
        <v>26</v>
      </c>
      <c r="C18" s="11" t="n">
        <f aca="false">Cover_Price/C17</f>
        <v>15.9986074578369</v>
      </c>
      <c r="F18" s="3" t="s">
        <v>27</v>
      </c>
    </row>
    <row r="19" customFormat="false" ht="15" hidden="false" customHeight="false" outlineLevel="0" collapsed="false">
      <c r="B19" s="7" t="s">
        <v>28</v>
      </c>
      <c r="C19" s="12" t="n">
        <v>14.82</v>
      </c>
      <c r="F19" s="3" t="s">
        <v>29</v>
      </c>
    </row>
    <row r="20" customFormat="false" ht="15" hidden="false" customHeight="false" outlineLevel="0" collapsed="false">
      <c r="B20" s="7" t="s">
        <v>30</v>
      </c>
      <c r="C20" s="8" t="n">
        <v>20</v>
      </c>
      <c r="F20" s="3" t="s">
        <v>31</v>
      </c>
    </row>
    <row r="21" customFormat="false" ht="15" hidden="false" customHeight="false" outlineLevel="0" collapsed="false">
      <c r="B21" s="7" t="s">
        <v>32</v>
      </c>
      <c r="C21" s="13" t="n">
        <f aca="false">C20/Cover_Price</f>
        <v>0.0193425468331415</v>
      </c>
      <c r="F21" s="3" t="s">
        <v>33</v>
      </c>
    </row>
    <row r="23" customFormat="false" ht="19.5" hidden="false" customHeight="true" outlineLevel="0" collapsed="false">
      <c r="A23" s="6" t="s">
        <v>34</v>
      </c>
      <c r="B23" s="6"/>
      <c r="C23" s="6"/>
      <c r="D23" s="6"/>
      <c r="E23" s="6"/>
    </row>
    <row r="24" customFormat="false" ht="15" hidden="false" customHeight="false" outlineLevel="0" collapsed="false">
      <c r="B24" s="7" t="s">
        <v>35</v>
      </c>
      <c r="C24" s="14" t="n">
        <f aca="false">Valuation!C35</f>
        <v>508.335370190091</v>
      </c>
    </row>
    <row r="25" customFormat="false" ht="15" hidden="false" customHeight="false" outlineLevel="0" collapsed="false">
      <c r="B25" s="7" t="s">
        <v>36</v>
      </c>
      <c r="C25" s="14" t="n">
        <f aca="false">Valuation!D35</f>
        <v>812.79324313557</v>
      </c>
    </row>
    <row r="26" customFormat="false" ht="15" hidden="false" customHeight="false" outlineLevel="0" collapsed="false">
      <c r="B26" s="7" t="s">
        <v>37</v>
      </c>
      <c r="C26" s="14" t="n">
        <f aca="false">Valuation!E35</f>
        <v>1281.23588041306</v>
      </c>
    </row>
    <row r="27" customFormat="false" ht="15" hidden="false" customHeight="false" outlineLevel="0" collapsed="false">
      <c r="B27" s="7" t="s">
        <v>38</v>
      </c>
      <c r="C27" s="14" t="n">
        <f aca="false">Valuation!D39</f>
        <v>853.789434218573</v>
      </c>
    </row>
    <row r="28" customFormat="false" ht="15" hidden="false" customHeight="false" outlineLevel="0" collapsed="false">
      <c r="B28" s="7" t="s">
        <v>39</v>
      </c>
      <c r="C28" s="15" t="n">
        <f aca="false">Valuation!D40</f>
        <v>-0.174276894149293</v>
      </c>
    </row>
    <row r="29" customFormat="false" ht="15" hidden="false" customHeight="false" outlineLevel="0" collapsed="false">
      <c r="B29" s="7" t="s">
        <v>40</v>
      </c>
      <c r="C29" s="14" t="n">
        <f aca="false">'Analyst Ratings'!C13</f>
        <v>1141.65</v>
      </c>
    </row>
    <row r="30" customFormat="false" ht="15" hidden="false" customHeight="false" outlineLevel="0" collapsed="false">
      <c r="B30" s="7" t="s">
        <v>41</v>
      </c>
      <c r="C30" s="15" t="n">
        <f aca="false">'ROTE Driver Model'!D27</f>
        <v>0.239665339710644</v>
      </c>
    </row>
    <row r="32" customFormat="false" ht="19.5" hidden="false" customHeight="true" outlineLevel="0" collapsed="false">
      <c r="A32" s="6" t="s">
        <v>42</v>
      </c>
      <c r="B32" s="6"/>
      <c r="C32" s="6"/>
      <c r="D32" s="6"/>
      <c r="E32" s="6"/>
    </row>
    <row r="33" customFormat="false" ht="199.5" hidden="false" customHeight="true" outlineLevel="0" collapsed="false">
      <c r="B33" s="16" t="s">
        <v>43</v>
      </c>
      <c r="C33" s="16"/>
      <c r="D33" s="16"/>
      <c r="E33" s="16"/>
      <c r="F33" s="16"/>
    </row>
    <row r="35" customFormat="false" ht="19.5" hidden="false" customHeight="true" outlineLevel="0" collapsed="false">
      <c r="A35" s="6" t="s">
        <v>44</v>
      </c>
      <c r="B35" s="6"/>
      <c r="C35" s="6"/>
      <c r="D35" s="6"/>
      <c r="E35" s="6"/>
    </row>
    <row r="36" customFormat="false" ht="15" hidden="false" customHeight="false" outlineLevel="0" collapsed="false">
      <c r="B36" s="7" t="s">
        <v>45</v>
      </c>
    </row>
    <row r="37" customFormat="false" ht="15" hidden="false" customHeight="false" outlineLevel="0" collapsed="false">
      <c r="B37" s="7" t="s">
        <v>46</v>
      </c>
    </row>
    <row r="38" customFormat="false" ht="15" hidden="false" customHeight="false" outlineLevel="0" collapsed="false">
      <c r="B38" s="7" t="s">
        <v>47</v>
      </c>
    </row>
    <row r="39" customFormat="false" ht="15" hidden="false" customHeight="false" outlineLevel="0" collapsed="false">
      <c r="B39" s="7" t="s">
        <v>48</v>
      </c>
    </row>
    <row r="40" customFormat="false" ht="15" hidden="false" customHeight="false" outlineLevel="0" collapsed="false">
      <c r="B40" s="7" t="s">
        <v>49</v>
      </c>
    </row>
    <row r="41" customFormat="false" ht="15" hidden="false" customHeight="false" outlineLevel="0" collapsed="false">
      <c r="B41" s="7" t="s">
        <v>50</v>
      </c>
    </row>
    <row r="42" customFormat="false" ht="15" hidden="false" customHeight="false" outlineLevel="0" collapsed="false">
      <c r="B42" s="7" t="s">
        <v>51</v>
      </c>
    </row>
    <row r="44" customFormat="false" ht="15" hidden="false" customHeight="false" outlineLevel="0" collapsed="false">
      <c r="B44" s="4" t="s">
        <v>52</v>
      </c>
    </row>
    <row r="45" customFormat="false" ht="15" hidden="false" customHeight="false" outlineLevel="0" collapsed="false">
      <c r="B45" s="5" t="s">
        <v>53</v>
      </c>
    </row>
    <row r="46" customFormat="false" ht="15" hidden="false" customHeight="false" outlineLevel="0" collapsed="false">
      <c r="B46" s="7" t="s">
        <v>54</v>
      </c>
    </row>
    <row r="47" customFormat="false" ht="15" hidden="false" customHeight="false" outlineLevel="0" collapsed="false">
      <c r="B47" s="17" t="s">
        <v>55</v>
      </c>
    </row>
    <row r="48" customFormat="false" ht="15" hidden="false" customHeight="false" outlineLevel="0" collapsed="false">
      <c r="B48" s="18" t="s">
        <v>56</v>
      </c>
    </row>
    <row r="50" customFormat="false" ht="57.75" hidden="false" customHeight="true" outlineLevel="0" collapsed="false">
      <c r="B50" s="16" t="s">
        <v>57</v>
      </c>
      <c r="C50" s="16"/>
      <c r="D50" s="16"/>
      <c r="E50" s="16"/>
      <c r="F50" s="16"/>
    </row>
  </sheetData>
  <mergeCells count="6">
    <mergeCell ref="A7:E7"/>
    <mergeCell ref="A23:E23"/>
    <mergeCell ref="A32:E32"/>
    <mergeCell ref="B33:F33"/>
    <mergeCell ref="A35:E35"/>
    <mergeCell ref="B50:F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K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8"/>
    <col collapsed="false" customWidth="true" hidden="false" outlineLevel="0" max="10" min="3" style="0" width="12"/>
    <col collapsed="false" customWidth="true" hidden="false" outlineLevel="0" max="11" min="11" style="0" width="44"/>
    <col collapsed="false" customWidth="true" hidden="false" outlineLevel="0" max="12" min="12" style="0" width="3"/>
  </cols>
  <sheetData>
    <row r="2" customFormat="false" ht="19.5" hidden="false" customHeight="true" outlineLevel="0" collapsed="false">
      <c r="A2" s="6" t="s">
        <v>58</v>
      </c>
      <c r="B2" s="6"/>
      <c r="C2" s="6"/>
      <c r="D2" s="6"/>
      <c r="E2" s="6"/>
      <c r="F2" s="6"/>
      <c r="G2" s="6"/>
      <c r="H2" s="6"/>
      <c r="I2" s="6"/>
    </row>
    <row r="3" customFormat="false" ht="42" hidden="false" customHeight="true" outlineLevel="0" collapsed="false">
      <c r="B3" s="16" t="s">
        <v>59</v>
      </c>
      <c r="C3" s="16"/>
      <c r="D3" s="16"/>
      <c r="E3" s="16"/>
      <c r="F3" s="16"/>
      <c r="G3" s="16"/>
      <c r="H3" s="16"/>
      <c r="I3" s="16"/>
      <c r="J3" s="16"/>
    </row>
    <row r="5" customFormat="false" ht="25.5" hidden="false" customHeight="true" outlineLevel="0" collapsed="false">
      <c r="B5" s="19" t="s">
        <v>60</v>
      </c>
      <c r="C5" s="19" t="s">
        <v>61</v>
      </c>
      <c r="D5" s="19" t="s">
        <v>62</v>
      </c>
      <c r="E5" s="19" t="s">
        <v>63</v>
      </c>
      <c r="F5" s="19" t="s">
        <v>64</v>
      </c>
      <c r="G5" s="19" t="s">
        <v>65</v>
      </c>
      <c r="H5" s="19" t="s">
        <v>66</v>
      </c>
      <c r="I5" s="19" t="s">
        <v>67</v>
      </c>
      <c r="J5" s="19" t="s">
        <v>68</v>
      </c>
    </row>
    <row r="6" customFormat="false" ht="15" hidden="false" customHeight="false" outlineLevel="0" collapsed="false">
      <c r="B6" s="20" t="s">
        <v>69</v>
      </c>
      <c r="C6" s="21"/>
      <c r="D6" s="21"/>
      <c r="E6" s="21"/>
      <c r="F6" s="21" t="n">
        <v>10133</v>
      </c>
      <c r="G6" s="21"/>
      <c r="H6" s="21" t="n">
        <v>10410</v>
      </c>
      <c r="I6" s="21" t="n">
        <v>12738</v>
      </c>
      <c r="J6" s="21" t="n">
        <v>15520</v>
      </c>
      <c r="K6" s="3" t="s">
        <v>70</v>
      </c>
    </row>
    <row r="7" customFormat="false" ht="15" hidden="false" customHeight="false" outlineLevel="0" collapsed="false">
      <c r="B7" s="22" t="s">
        <v>71</v>
      </c>
      <c r="C7" s="23"/>
      <c r="D7" s="23"/>
      <c r="E7" s="23"/>
      <c r="F7" s="23" t="n">
        <v>3831</v>
      </c>
      <c r="G7" s="23"/>
      <c r="H7" s="23" t="n">
        <v>4720</v>
      </c>
      <c r="I7" s="23" t="n">
        <v>4078</v>
      </c>
      <c r="J7" s="23" t="n">
        <v>4597</v>
      </c>
      <c r="K7" s="3" t="s">
        <v>72</v>
      </c>
    </row>
    <row r="8" customFormat="false" ht="15" hidden="false" customHeight="false" outlineLevel="0" collapsed="false">
      <c r="B8" s="20" t="s">
        <v>73</v>
      </c>
      <c r="C8" s="21"/>
      <c r="D8" s="21"/>
      <c r="E8" s="21"/>
      <c r="F8" s="21" t="n">
        <v>619</v>
      </c>
      <c r="G8" s="21"/>
      <c r="H8" s="21"/>
      <c r="I8" s="21" t="n">
        <v>411</v>
      </c>
      <c r="J8" s="21" t="n">
        <v>221</v>
      </c>
      <c r="K8" s="3" t="s">
        <v>74</v>
      </c>
    </row>
    <row r="9" customFormat="false" ht="15" hidden="false" customHeight="false" outlineLevel="0" collapsed="false">
      <c r="B9" s="24" t="s">
        <v>75</v>
      </c>
      <c r="C9" s="25" t="n">
        <v>12700</v>
      </c>
      <c r="D9" s="25" t="n">
        <v>13870</v>
      </c>
      <c r="E9" s="25" t="n">
        <v>15060</v>
      </c>
      <c r="F9" s="25" t="n">
        <v>14583</v>
      </c>
      <c r="G9" s="25" t="n">
        <v>15180</v>
      </c>
      <c r="H9" s="25" t="n">
        <v>13450</v>
      </c>
      <c r="I9" s="25" t="n">
        <v>17227</v>
      </c>
      <c r="J9" s="25" t="n">
        <v>20338</v>
      </c>
      <c r="K9" s="3" t="s">
        <v>76</v>
      </c>
    </row>
    <row r="10" customFormat="false" ht="15" hidden="false" customHeight="false" outlineLevel="0" collapsed="false">
      <c r="B10" s="20" t="s">
        <v>77</v>
      </c>
      <c r="C10" s="21"/>
      <c r="D10" s="21"/>
      <c r="E10" s="21"/>
      <c r="F10" s="21" t="n">
        <v>378</v>
      </c>
      <c r="G10" s="21"/>
      <c r="H10" s="21" t="n">
        <v>-2120</v>
      </c>
      <c r="I10" s="21" t="n">
        <v>315</v>
      </c>
      <c r="J10" s="21" t="n">
        <v>102</v>
      </c>
      <c r="K10" s="3" t="s">
        <v>78</v>
      </c>
    </row>
    <row r="11" customFormat="false" ht="15" hidden="false" customHeight="false" outlineLevel="0" collapsed="false">
      <c r="B11" s="22" t="s">
        <v>79</v>
      </c>
      <c r="C11" s="23"/>
      <c r="D11" s="23"/>
      <c r="E11" s="23"/>
      <c r="F11" s="23" t="n">
        <v>9264</v>
      </c>
      <c r="G11" s="23"/>
      <c r="H11" s="23"/>
      <c r="I11" s="23" t="n">
        <v>10426</v>
      </c>
      <c r="J11" s="23" t="n">
        <v>11673</v>
      </c>
      <c r="K11" s="3" t="s">
        <v>80</v>
      </c>
    </row>
    <row r="12" customFormat="false" ht="15" hidden="false" customHeight="false" outlineLevel="0" collapsed="false">
      <c r="B12" s="20" t="s">
        <v>81</v>
      </c>
      <c r="C12" s="21"/>
      <c r="D12" s="21"/>
      <c r="E12" s="21"/>
      <c r="F12" s="21" t="n">
        <v>4950</v>
      </c>
      <c r="G12" s="21"/>
      <c r="H12" s="21"/>
      <c r="I12" s="21" t="n">
        <v>6486</v>
      </c>
      <c r="J12" s="21" t="n">
        <v>8563</v>
      </c>
      <c r="K12" s="3" t="s">
        <v>80</v>
      </c>
    </row>
    <row r="13" customFormat="false" ht="15" hidden="false" customHeight="false" outlineLevel="0" collapsed="false">
      <c r="B13" s="24" t="s">
        <v>82</v>
      </c>
      <c r="C13" s="25" t="n">
        <v>2990</v>
      </c>
      <c r="D13" s="25" t="n">
        <v>4110</v>
      </c>
      <c r="E13" s="25" t="n">
        <v>4740</v>
      </c>
      <c r="F13" s="25" t="n">
        <v>3720</v>
      </c>
      <c r="G13" s="25" t="n">
        <v>4100</v>
      </c>
      <c r="H13" s="25" t="n">
        <v>4620</v>
      </c>
      <c r="I13" s="25" t="n">
        <v>5630</v>
      </c>
      <c r="J13" s="25" t="n">
        <v>6628</v>
      </c>
    </row>
    <row r="14" customFormat="false" ht="15" hidden="false" customHeight="false" outlineLevel="0" collapsed="false">
      <c r="B14" s="20" t="s">
        <v>83</v>
      </c>
      <c r="C14" s="21"/>
      <c r="D14" s="21"/>
      <c r="E14" s="21"/>
      <c r="F14" s="21" t="n">
        <v>3477</v>
      </c>
      <c r="G14" s="21"/>
      <c r="H14" s="21"/>
      <c r="I14" s="21" t="n">
        <v>5403</v>
      </c>
      <c r="J14" s="21" t="n">
        <v>6399</v>
      </c>
      <c r="K14" s="3" t="s">
        <v>80</v>
      </c>
    </row>
    <row r="15" customFormat="false" ht="15" hidden="false" customHeight="false" outlineLevel="0" collapsed="false">
      <c r="B15" s="26"/>
      <c r="C15" s="26"/>
      <c r="D15" s="26"/>
      <c r="E15" s="26"/>
      <c r="F15" s="26"/>
      <c r="G15" s="26"/>
      <c r="H15" s="26"/>
      <c r="I15" s="26"/>
      <c r="J15" s="26"/>
    </row>
    <row r="16" customFormat="false" ht="15" hidden="false" customHeight="false" outlineLevel="0" collapsed="false">
      <c r="B16" s="27" t="s">
        <v>84</v>
      </c>
      <c r="C16" s="28" t="n">
        <v>8.4</v>
      </c>
      <c r="D16" s="28" t="n">
        <v>11.95</v>
      </c>
      <c r="E16" s="28" t="n">
        <v>14.12</v>
      </c>
      <c r="F16" s="28" t="n">
        <v>10.91</v>
      </c>
      <c r="G16" s="28" t="n">
        <v>12.25</v>
      </c>
      <c r="H16" s="28" t="n">
        <v>14.01</v>
      </c>
      <c r="I16" s="28" t="n">
        <v>17.55</v>
      </c>
      <c r="J16" s="28" t="n">
        <v>20.98</v>
      </c>
    </row>
    <row r="17" customFormat="false" ht="15" hidden="false" customHeight="false" outlineLevel="0" collapsed="false">
      <c r="B17" s="22" t="s">
        <v>18</v>
      </c>
      <c r="C17" s="29"/>
      <c r="D17" s="29" t="n">
        <v>336.77</v>
      </c>
      <c r="E17" s="29"/>
      <c r="F17" s="29" t="n">
        <v>349.74</v>
      </c>
      <c r="G17" s="29" t="n">
        <v>353.79</v>
      </c>
      <c r="H17" s="29" t="n">
        <v>357.6</v>
      </c>
      <c r="I17" s="29" t="n">
        <v>361.19</v>
      </c>
      <c r="J17" s="29" t="n">
        <v>367.67</v>
      </c>
    </row>
    <row r="18" customFormat="false" ht="15" hidden="false" customHeight="false" outlineLevel="0" collapsed="false">
      <c r="B18" s="20" t="s">
        <v>20</v>
      </c>
      <c r="C18" s="30"/>
      <c r="D18" s="30"/>
      <c r="E18" s="30"/>
      <c r="F18" s="30"/>
      <c r="G18" s="30"/>
      <c r="H18" s="30" t="n">
        <v>335.49</v>
      </c>
      <c r="I18" s="30" t="n">
        <v>336.28</v>
      </c>
      <c r="J18" s="30" t="n">
        <v>336.61</v>
      </c>
      <c r="K18" s="3" t="s">
        <v>85</v>
      </c>
    </row>
    <row r="19" customFormat="false" ht="15" hidden="false" customHeight="false" outlineLevel="0" collapsed="false">
      <c r="B19" s="22" t="s">
        <v>86</v>
      </c>
      <c r="C19" s="31"/>
      <c r="D19" s="31"/>
      <c r="E19" s="31"/>
      <c r="F19" s="31"/>
      <c r="G19" s="31"/>
      <c r="H19" s="31" t="n">
        <v>307.1</v>
      </c>
      <c r="I19" s="31" t="n">
        <v>302</v>
      </c>
      <c r="J19" s="31" t="n">
        <v>298.4</v>
      </c>
    </row>
    <row r="20" customFormat="false" ht="15" hidden="false" customHeight="false" outlineLevel="0" collapsed="false">
      <c r="B20" s="20" t="s">
        <v>87</v>
      </c>
      <c r="C20" s="32"/>
      <c r="D20" s="32"/>
      <c r="E20" s="32"/>
      <c r="F20" s="32"/>
      <c r="G20" s="32"/>
      <c r="H20" s="32"/>
      <c r="I20" s="32"/>
      <c r="J20" s="32" t="n">
        <v>305</v>
      </c>
      <c r="K20" s="3" t="s">
        <v>88</v>
      </c>
    </row>
    <row r="21" customFormat="false" ht="15" hidden="false" customHeight="false" outlineLevel="0" collapsed="false">
      <c r="B21" s="26"/>
      <c r="C21" s="26"/>
      <c r="D21" s="26"/>
      <c r="E21" s="26"/>
      <c r="F21" s="26"/>
      <c r="G21" s="26"/>
      <c r="H21" s="26"/>
      <c r="I21" s="26"/>
      <c r="J21" s="26"/>
    </row>
    <row r="22" customFormat="false" ht="15" hidden="false" customHeight="false" outlineLevel="0" collapsed="false">
      <c r="B22" s="27" t="s">
        <v>89</v>
      </c>
      <c r="C22" s="33" t="n">
        <v>0.104</v>
      </c>
      <c r="D22" s="33" t="n">
        <v>0.146</v>
      </c>
      <c r="E22" s="33" t="n">
        <v>0.169</v>
      </c>
      <c r="F22" s="33" t="n">
        <v>0.128</v>
      </c>
      <c r="G22" s="33" t="n">
        <v>0.142</v>
      </c>
      <c r="H22" s="33" t="n">
        <v>0.16</v>
      </c>
      <c r="I22" s="33" t="n">
        <v>0.198</v>
      </c>
      <c r="J22" s="33" t="n">
        <v>0.235</v>
      </c>
      <c r="K22" s="3" t="s">
        <v>90</v>
      </c>
    </row>
    <row r="23" customFormat="false" ht="15" hidden="false" customHeight="false" outlineLevel="0" collapsed="false">
      <c r="B23" s="24" t="s">
        <v>91</v>
      </c>
      <c r="C23" s="34"/>
      <c r="D23" s="34" t="n">
        <v>0.155</v>
      </c>
      <c r="E23" s="34"/>
      <c r="F23" s="34" t="n">
        <v>0.136</v>
      </c>
      <c r="G23" s="34" t="n">
        <v>0.152</v>
      </c>
      <c r="H23" s="34" t="n">
        <v>0.171</v>
      </c>
      <c r="I23" s="34" t="n">
        <v>0.213</v>
      </c>
      <c r="J23" s="34" t="n">
        <v>0.255</v>
      </c>
      <c r="K23" s="3" t="s">
        <v>92</v>
      </c>
    </row>
    <row r="24" customFormat="false" ht="15" hidden="false" customHeight="false" outlineLevel="0" collapsed="false">
      <c r="B24" s="20" t="s">
        <v>93</v>
      </c>
      <c r="C24" s="35"/>
      <c r="D24" s="35"/>
      <c r="E24" s="35"/>
      <c r="F24" s="35" t="n">
        <v>0.634</v>
      </c>
      <c r="G24" s="35"/>
      <c r="H24" s="35"/>
      <c r="I24" s="35" t="n">
        <v>0.605</v>
      </c>
      <c r="J24" s="35" t="n">
        <v>0.574</v>
      </c>
      <c r="K24" s="3" t="s">
        <v>80</v>
      </c>
    </row>
    <row r="25" customFormat="false" ht="15" hidden="false" customHeight="false" outlineLevel="0" collapsed="false">
      <c r="B25" s="22" t="s">
        <v>94</v>
      </c>
      <c r="C25" s="36"/>
      <c r="D25" s="36"/>
      <c r="E25" s="36"/>
      <c r="F25" s="36"/>
      <c r="G25" s="36"/>
      <c r="H25" s="36" t="n">
        <v>0.143</v>
      </c>
      <c r="I25" s="36" t="n">
        <v>0.125</v>
      </c>
      <c r="J25" s="36" t="n">
        <v>0.129</v>
      </c>
    </row>
    <row r="26" customFormat="false" ht="15" hidden="false" customHeight="false" outlineLevel="0" collapsed="false">
      <c r="B26" s="20" t="s">
        <v>95</v>
      </c>
      <c r="C26" s="35"/>
      <c r="D26" s="35"/>
      <c r="E26" s="35"/>
      <c r="F26" s="35"/>
      <c r="G26" s="35"/>
      <c r="H26" s="35" t="n">
        <v>0.052</v>
      </c>
      <c r="I26" s="35" t="n">
        <v>0.047</v>
      </c>
      <c r="J26" s="35" t="n">
        <v>0.043</v>
      </c>
    </row>
    <row r="27" customFormat="false" ht="15" hidden="false" customHeight="false" outlineLevel="0" collapsed="false">
      <c r="B27" s="26"/>
      <c r="C27" s="26"/>
      <c r="D27" s="26"/>
      <c r="E27" s="26"/>
      <c r="F27" s="26"/>
      <c r="G27" s="26"/>
      <c r="H27" s="26"/>
      <c r="I27" s="26"/>
      <c r="J27" s="26"/>
    </row>
    <row r="28" customFormat="false" ht="15" hidden="false" customHeight="false" outlineLevel="0" collapsed="false">
      <c r="B28" s="20" t="s">
        <v>96</v>
      </c>
      <c r="C28" s="37"/>
      <c r="D28" s="37"/>
      <c r="E28" s="37"/>
      <c r="F28" s="37" t="n">
        <v>3293</v>
      </c>
      <c r="G28" s="37"/>
      <c r="H28" s="37" t="n">
        <v>3606</v>
      </c>
      <c r="I28" s="37" t="n">
        <v>3650</v>
      </c>
      <c r="J28" s="37" t="n">
        <v>4041</v>
      </c>
    </row>
    <row r="29" customFormat="false" ht="15" hidden="false" customHeight="false" outlineLevel="0" collapsed="false">
      <c r="B29" s="22" t="s">
        <v>97</v>
      </c>
      <c r="C29" s="38"/>
      <c r="D29" s="38"/>
      <c r="E29" s="38"/>
      <c r="F29" s="38" t="n">
        <v>217</v>
      </c>
      <c r="G29" s="38"/>
      <c r="H29" s="38"/>
      <c r="I29" s="38" t="n">
        <v>253</v>
      </c>
      <c r="J29" s="38" t="n">
        <v>261</v>
      </c>
    </row>
    <row r="30" customFormat="false" ht="15" hidden="false" customHeight="false" outlineLevel="0" collapsed="false">
      <c r="B30" s="20" t="s">
        <v>98</v>
      </c>
      <c r="C30" s="21"/>
      <c r="D30" s="21"/>
      <c r="E30" s="21"/>
      <c r="F30" s="21" t="n">
        <v>3110</v>
      </c>
      <c r="G30" s="21"/>
      <c r="H30" s="21"/>
      <c r="I30" s="21" t="n">
        <v>3700</v>
      </c>
      <c r="J30" s="21" t="n">
        <v>3950</v>
      </c>
      <c r="K30" s="3" t="s">
        <v>99</v>
      </c>
    </row>
    <row r="31" customFormat="false" ht="15" hidden="false" customHeight="false" outlineLevel="0" collapsed="false">
      <c r="B31" s="26"/>
      <c r="C31" s="26"/>
      <c r="D31" s="26"/>
      <c r="E31" s="26"/>
      <c r="F31" s="26"/>
      <c r="G31" s="26"/>
      <c r="H31" s="26"/>
      <c r="I31" s="26"/>
      <c r="J31" s="26"/>
    </row>
    <row r="32" customFormat="false" ht="15" hidden="false" customHeight="false" outlineLevel="0" collapsed="false">
      <c r="B32" s="20" t="s">
        <v>100</v>
      </c>
      <c r="C32" s="39" t="n">
        <f aca="false">IF(ISBLANK(C9),"n/a",IFERROR(C9/C9-1,"-"))</f>
        <v>0</v>
      </c>
      <c r="D32" s="39" t="n">
        <f aca="false">IF(ISBLANK(D9),"n/a",IFERROR(D9/C9-1,"-"))</f>
        <v>0.0921259842519686</v>
      </c>
      <c r="E32" s="39" t="n">
        <f aca="false">IF(ISBLANK(E9),"n/a",IFERROR(E9/C9-1,"-"))</f>
        <v>0.185826771653543</v>
      </c>
      <c r="F32" s="39" t="n">
        <f aca="false">IF(ISBLANK(F9),"n/a",IFERROR(F9/C9-1,"-"))</f>
        <v>0.148267716535433</v>
      </c>
      <c r="G32" s="39" t="n">
        <f aca="false">IF(ISBLANK(G9),"n/a",IFERROR(G9/C9-1,"-"))</f>
        <v>0.195275590551181</v>
      </c>
      <c r="H32" s="39" t="n">
        <f aca="false">IF(ISBLANK(H9),"n/a",IFERROR(H9/D9-1,"-"))</f>
        <v>-0.030281182408075</v>
      </c>
      <c r="I32" s="39" t="n">
        <f aca="false">IF(ISBLANK(I9),"n/a",IFERROR(I9/E9-1,"-"))</f>
        <v>0.143891102257636</v>
      </c>
      <c r="J32" s="39" t="n">
        <f aca="false">IF(ISBLANK(J9),"n/a",IFERROR(J9/F9-1,"-"))</f>
        <v>0.394637591716382</v>
      </c>
      <c r="K32" s="3" t="s">
        <v>101</v>
      </c>
    </row>
    <row r="33" customFormat="false" ht="15" hidden="false" customHeight="false" outlineLevel="0" collapsed="false">
      <c r="B33" s="22" t="s">
        <v>102</v>
      </c>
      <c r="C33" s="40" t="n">
        <f aca="false">IF(ISBLANK(C9),"n/a",IFERROR(C13/C9,"-"))</f>
        <v>0.235433070866142</v>
      </c>
      <c r="D33" s="40" t="n">
        <f aca="false">IF(ISBLANK(D9),"n/a",IFERROR(D13/D9,"-"))</f>
        <v>0.296322999279019</v>
      </c>
      <c r="E33" s="40" t="n">
        <f aca="false">IF(ISBLANK(E9),"n/a",IFERROR(E13/E9,"-"))</f>
        <v>0.314741035856574</v>
      </c>
      <c r="F33" s="40" t="n">
        <f aca="false">IF(ISBLANK(F9),"n/a",IFERROR(F13/F9,"-"))</f>
        <v>0.255091544949599</v>
      </c>
      <c r="G33" s="40" t="n">
        <f aca="false">IF(ISBLANK(G9),"n/a",IFERROR(G13/G9,"-"))</f>
        <v>0.270092226613966</v>
      </c>
      <c r="H33" s="40" t="n">
        <f aca="false">IF(ISBLANK(H9),"n/a",IFERROR(H13/H9,"-"))</f>
        <v>0.343494423791822</v>
      </c>
      <c r="I33" s="40" t="n">
        <f aca="false">IF(ISBLANK(I9),"n/a",IFERROR(I13/I9,"-"))</f>
        <v>0.326812561676438</v>
      </c>
      <c r="J33" s="40" t="n">
        <f aca="false">IF(ISBLANK(J9),"n/a",IFERROR(J13/J9,"-"))</f>
        <v>0.325892418133543</v>
      </c>
    </row>
    <row r="34" customFormat="false" ht="15" hidden="false" customHeight="false" outlineLevel="0" collapsed="false">
      <c r="B34" s="20" t="s">
        <v>103</v>
      </c>
      <c r="C34" s="39" t="str">
        <f aca="false">IF(ISBLANK(C6),"n/a",IFERROR(C6/C9,"-"))</f>
        <v>n/a</v>
      </c>
      <c r="D34" s="39" t="str">
        <f aca="false">IF(ISBLANK(D6),"n/a",IFERROR(D6/D9,"-"))</f>
        <v>n/a</v>
      </c>
      <c r="E34" s="39" t="str">
        <f aca="false">IF(ISBLANK(E6),"n/a",IFERROR(E6/E9,"-"))</f>
        <v>n/a</v>
      </c>
      <c r="F34" s="39" t="n">
        <f aca="false">IF(ISBLANK(F6),"n/a",IFERROR(F6/F9,"-"))</f>
        <v>0.69485016800384</v>
      </c>
      <c r="G34" s="39" t="str">
        <f aca="false">IF(ISBLANK(G6),"n/a",IFERROR(G6/G9,"-"))</f>
        <v>n/a</v>
      </c>
      <c r="H34" s="39" t="n">
        <f aca="false">IF(ISBLANK(H6),"n/a",IFERROR(H6/H9,"-"))</f>
        <v>0.773977695167286</v>
      </c>
      <c r="I34" s="39" t="n">
        <f aca="false">IF(ISBLANK(I6),"n/a",IFERROR(I6/I9,"-"))</f>
        <v>0.739420676844488</v>
      </c>
      <c r="J34" s="39" t="n">
        <f aca="false">IF(ISBLANK(J6),"n/a",IFERROR(J6/J9,"-"))</f>
        <v>0.763103550004917</v>
      </c>
    </row>
    <row r="36" customFormat="false" ht="150" hidden="false" customHeight="true" outlineLevel="0" collapsed="false">
      <c r="B36" s="16" t="s">
        <v>104</v>
      </c>
      <c r="C36" s="16"/>
      <c r="D36" s="16"/>
      <c r="E36" s="16"/>
      <c r="F36" s="16"/>
      <c r="G36" s="16"/>
      <c r="H36" s="16"/>
      <c r="I36" s="16"/>
      <c r="J36" s="16"/>
    </row>
  </sheetData>
  <mergeCells count="3">
    <mergeCell ref="A2:I2"/>
    <mergeCell ref="B3:J3"/>
    <mergeCell ref="B36:J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2"/>
    <col collapsed="false" customWidth="true" hidden="false" outlineLevel="0" max="9" min="3" style="0" width="13"/>
    <col collapsed="false" customWidth="true" hidden="false" outlineLevel="0" max="10" min="10" style="0" width="46"/>
    <col collapsed="false" customWidth="true" hidden="false" outlineLevel="0" max="11" min="11" style="0" width="3"/>
  </cols>
  <sheetData>
    <row r="2" customFormat="false" ht="19.5" hidden="false" customHeight="true" outlineLevel="0" collapsed="false">
      <c r="A2" s="6" t="s">
        <v>105</v>
      </c>
      <c r="B2" s="6"/>
      <c r="C2" s="6"/>
      <c r="D2" s="6"/>
      <c r="E2" s="6"/>
      <c r="F2" s="6"/>
      <c r="G2" s="6"/>
      <c r="H2" s="6"/>
    </row>
    <row r="3" customFormat="false" ht="90" hidden="false" customHeight="true" outlineLevel="0" collapsed="false">
      <c r="B3" s="16" t="s">
        <v>106</v>
      </c>
      <c r="C3" s="16"/>
      <c r="D3" s="16"/>
      <c r="E3" s="16"/>
      <c r="F3" s="16"/>
      <c r="G3" s="16"/>
      <c r="H3" s="16"/>
      <c r="I3" s="16"/>
    </row>
    <row r="5" customFormat="false" ht="19.5" hidden="false" customHeight="true" outlineLevel="0" collapsed="false">
      <c r="A5" s="6" t="s">
        <v>107</v>
      </c>
      <c r="B5" s="6"/>
      <c r="C5" s="6"/>
      <c r="D5" s="6"/>
      <c r="E5" s="6"/>
      <c r="F5" s="6"/>
      <c r="G5" s="6"/>
      <c r="H5" s="6"/>
    </row>
    <row r="6" customFormat="false" ht="15" hidden="false" customHeight="false" outlineLevel="0" collapsed="false">
      <c r="B6" s="7" t="s">
        <v>108</v>
      </c>
      <c r="D6" s="14" t="n">
        <f aca="false">Cover_TBVPS</f>
        <v>336.61</v>
      </c>
      <c r="J6" s="3" t="s">
        <v>109</v>
      </c>
    </row>
    <row r="7" customFormat="false" ht="15" hidden="false" customHeight="false" outlineLevel="0" collapsed="false">
      <c r="B7" s="7" t="s">
        <v>110</v>
      </c>
      <c r="D7" s="14" t="n">
        <f aca="false">Cover_Price</f>
        <v>1033.99</v>
      </c>
      <c r="J7" s="3" t="s">
        <v>109</v>
      </c>
    </row>
    <row r="8" customFormat="false" ht="15" hidden="false" customHeight="false" outlineLevel="0" collapsed="false">
      <c r="B8" s="7" t="s">
        <v>111</v>
      </c>
      <c r="D8" s="41" t="n">
        <f aca="false">Cover_PTBV</f>
        <v>3.07177445708684</v>
      </c>
      <c r="J8" s="3" t="s">
        <v>109</v>
      </c>
    </row>
    <row r="9" customFormat="false" ht="15" hidden="false" customHeight="false" outlineLevel="0" collapsed="false">
      <c r="B9" s="7" t="s">
        <v>112</v>
      </c>
      <c r="D9" s="42" t="n">
        <v>0.255</v>
      </c>
      <c r="J9" s="3" t="s">
        <v>19</v>
      </c>
    </row>
    <row r="10" customFormat="false" ht="15" hidden="false" customHeight="false" outlineLevel="0" collapsed="false">
      <c r="B10" s="7" t="s">
        <v>113</v>
      </c>
      <c r="D10" s="42" t="n">
        <v>0.234</v>
      </c>
      <c r="J10" s="3" t="s">
        <v>19</v>
      </c>
    </row>
    <row r="11" customFormat="false" ht="15" hidden="false" customHeight="false" outlineLevel="0" collapsed="false">
      <c r="B11" s="7" t="s">
        <v>114</v>
      </c>
      <c r="D11" s="42" t="n">
        <v>0.16</v>
      </c>
      <c r="J11" s="3" t="s">
        <v>115</v>
      </c>
    </row>
    <row r="12" customFormat="false" ht="15" hidden="false" customHeight="false" outlineLevel="0" collapsed="false">
      <c r="B12" s="7" t="s">
        <v>116</v>
      </c>
      <c r="D12" s="42" t="n">
        <v>0.135</v>
      </c>
      <c r="J12" s="3" t="s">
        <v>117</v>
      </c>
    </row>
    <row r="13" customFormat="false" ht="15" hidden="false" customHeight="false" outlineLevel="0" collapsed="false">
      <c r="B13" s="7" t="s">
        <v>118</v>
      </c>
      <c r="D13" s="42" t="n">
        <v>0.15</v>
      </c>
      <c r="J13" s="3" t="s">
        <v>119</v>
      </c>
    </row>
    <row r="14" customFormat="false" ht="15" hidden="false" customHeight="false" outlineLevel="0" collapsed="false">
      <c r="B14" s="7" t="s">
        <v>120</v>
      </c>
      <c r="D14" s="42" t="n">
        <v>0.17</v>
      </c>
      <c r="J14" s="3" t="s">
        <v>121</v>
      </c>
    </row>
    <row r="16" customFormat="false" ht="19.5" hidden="false" customHeight="true" outlineLevel="0" collapsed="false">
      <c r="A16" s="6" t="s">
        <v>122</v>
      </c>
      <c r="B16" s="6"/>
      <c r="C16" s="6"/>
      <c r="D16" s="6"/>
      <c r="E16" s="6"/>
      <c r="F16" s="6"/>
      <c r="G16" s="6"/>
      <c r="H16" s="6"/>
    </row>
    <row r="17" customFormat="false" ht="15" hidden="false" customHeight="false" outlineLevel="0" collapsed="false">
      <c r="B17" s="7" t="s">
        <v>123</v>
      </c>
      <c r="D17" s="43" t="n">
        <v>0.19</v>
      </c>
      <c r="J17" s="3" t="s">
        <v>124</v>
      </c>
    </row>
    <row r="18" customFormat="false" ht="15" hidden="false" customHeight="false" outlineLevel="0" collapsed="false">
      <c r="B18" s="7" t="s">
        <v>125</v>
      </c>
      <c r="D18" s="43" t="n">
        <v>0.105</v>
      </c>
      <c r="J18" s="3" t="s">
        <v>126</v>
      </c>
    </row>
    <row r="19" customFormat="false" ht="15" hidden="false" customHeight="false" outlineLevel="0" collapsed="false">
      <c r="B19" s="7" t="s">
        <v>127</v>
      </c>
      <c r="D19" s="43" t="n">
        <v>0.04</v>
      </c>
      <c r="J19" s="3" t="s">
        <v>128</v>
      </c>
    </row>
    <row r="21" customFormat="false" ht="19.5" hidden="false" customHeight="true" outlineLevel="0" collapsed="false">
      <c r="A21" s="6" t="s">
        <v>129</v>
      </c>
      <c r="B21" s="6"/>
      <c r="C21" s="6"/>
      <c r="D21" s="6"/>
      <c r="E21" s="6"/>
      <c r="F21" s="6"/>
      <c r="G21" s="6"/>
      <c r="H21" s="6"/>
    </row>
    <row r="22" customFormat="false" ht="15" hidden="false" customHeight="false" outlineLevel="0" collapsed="false">
      <c r="B22" s="4" t="s">
        <v>130</v>
      </c>
      <c r="D22" s="44" t="n">
        <f aca="false">IF($D$19&gt;=$D$18,"n/m",($D$17-$D$19)/($D$18-$D$19))</f>
        <v>2.30769230769231</v>
      </c>
    </row>
    <row r="23" customFormat="false" ht="15" hidden="false" customHeight="false" outlineLevel="0" collapsed="false">
      <c r="B23" s="4" t="s">
        <v>131</v>
      </c>
      <c r="D23" s="45" t="n">
        <f aca="false">IFERROR($D$22*$D$6,"n/m")</f>
        <v>776.792307692308</v>
      </c>
    </row>
    <row r="24" customFormat="false" ht="15" hidden="false" customHeight="false" outlineLevel="0" collapsed="false">
      <c r="B24" s="7" t="s">
        <v>132</v>
      </c>
      <c r="D24" s="13" t="n">
        <f aca="false">IFERROR($D$23/$D$7-1,"-")</f>
        <v>-0.248742920441873</v>
      </c>
    </row>
    <row r="26" customFormat="false" ht="19.5" hidden="false" customHeight="true" outlineLevel="0" collapsed="false">
      <c r="A26" s="6" t="s">
        <v>133</v>
      </c>
      <c r="B26" s="6"/>
      <c r="C26" s="6"/>
      <c r="D26" s="6"/>
      <c r="E26" s="6"/>
      <c r="F26" s="6"/>
      <c r="G26" s="6"/>
      <c r="H26" s="6"/>
    </row>
    <row r="27" customFormat="false" ht="15" hidden="false" customHeight="false" outlineLevel="0" collapsed="false">
      <c r="B27" s="46" t="s">
        <v>134</v>
      </c>
      <c r="D27" s="47" t="n">
        <f aca="false">$D$7/$D$6*($D$18-$D$19)+$D$19</f>
        <v>0.239665339710644</v>
      </c>
    </row>
    <row r="28" customFormat="false" ht="15" hidden="false" customHeight="false" outlineLevel="0" collapsed="false">
      <c r="B28" s="7" t="s">
        <v>135</v>
      </c>
      <c r="D28" s="13" t="n">
        <f aca="false">D27-0.16</f>
        <v>0.0796653397106444</v>
      </c>
    </row>
    <row r="29" customFormat="false" ht="48" hidden="false" customHeight="true" outlineLevel="0" collapsed="false">
      <c r="B29" s="16" t="s">
        <v>136</v>
      </c>
      <c r="C29" s="16"/>
      <c r="D29" s="16"/>
      <c r="E29" s="16"/>
      <c r="F29" s="16"/>
      <c r="G29" s="16"/>
      <c r="H29" s="16"/>
      <c r="I29" s="16"/>
    </row>
    <row r="31" customFormat="false" ht="19.5" hidden="false" customHeight="true" outlineLevel="0" collapsed="false">
      <c r="A31" s="6" t="s">
        <v>137</v>
      </c>
      <c r="B31" s="6"/>
      <c r="C31" s="6"/>
      <c r="D31" s="6"/>
      <c r="E31" s="6"/>
      <c r="F31" s="6"/>
      <c r="G31" s="6"/>
      <c r="H31" s="6"/>
    </row>
    <row r="32" customFormat="false" ht="15" hidden="false" customHeight="false" outlineLevel="0" collapsed="false">
      <c r="B32" s="48" t="s">
        <v>138</v>
      </c>
      <c r="C32" s="49" t="n">
        <v>0.09</v>
      </c>
      <c r="D32" s="49" t="n">
        <v>0.095</v>
      </c>
      <c r="E32" s="49" t="n">
        <v>0.1</v>
      </c>
      <c r="F32" s="49" t="n">
        <v>0.105</v>
      </c>
      <c r="G32" s="49" t="n">
        <v>0.11</v>
      </c>
      <c r="H32" s="49" t="n">
        <v>0.12</v>
      </c>
    </row>
    <row r="33" customFormat="false" ht="15" hidden="false" customHeight="false" outlineLevel="0" collapsed="false">
      <c r="B33" s="49" t="n">
        <v>0.14</v>
      </c>
      <c r="C33" s="50" t="n">
        <f aca="false">IF(C$32&lt;=$D$19,"n/m",($B33-$D$19)/(C$32-$D$19)*$D$6)</f>
        <v>673.22</v>
      </c>
      <c r="D33" s="50" t="n">
        <f aca="false">IF(D$32&lt;=$D$19,"n/m",($B33-$D$19)/(D$32-$D$19)*$D$6)</f>
        <v>612.018181818182</v>
      </c>
      <c r="E33" s="50" t="n">
        <f aca="false">IF(E$32&lt;=$D$19,"n/m",($B33-$D$19)/(E$32-$D$19)*$D$6)</f>
        <v>561.016666666667</v>
      </c>
      <c r="F33" s="50" t="n">
        <f aca="false">IF(F$32&lt;=$D$19,"n/m",($B33-$D$19)/(F$32-$D$19)*$D$6)</f>
        <v>517.861538461539</v>
      </c>
      <c r="G33" s="50" t="n">
        <f aca="false">IF(G$32&lt;=$D$19,"n/m",($B33-$D$19)/(G$32-$D$19)*$D$6)</f>
        <v>480.871428571429</v>
      </c>
      <c r="H33" s="50" t="n">
        <f aca="false">IF(H$32&lt;=$D$19,"n/m",($B33-$D$19)/(H$32-$D$19)*$D$6)</f>
        <v>420.7625</v>
      </c>
    </row>
    <row r="34" customFormat="false" ht="15" hidden="false" customHeight="false" outlineLevel="0" collapsed="false">
      <c r="B34" s="49" t="n">
        <v>0.16</v>
      </c>
      <c r="C34" s="50" t="n">
        <f aca="false">IF(C$32&lt;=$D$19,"n/m",($B34-$D$19)/(C$32-$D$19)*$D$6)</f>
        <v>807.864</v>
      </c>
      <c r="D34" s="50" t="n">
        <f aca="false">IF(D$32&lt;=$D$19,"n/m",($B34-$D$19)/(D$32-$D$19)*$D$6)</f>
        <v>734.421818181818</v>
      </c>
      <c r="E34" s="50" t="n">
        <f aca="false">IF(E$32&lt;=$D$19,"n/m",($B34-$D$19)/(E$32-$D$19)*$D$6)</f>
        <v>673.22</v>
      </c>
      <c r="F34" s="50" t="n">
        <f aca="false">IF(F$32&lt;=$D$19,"n/m",($B34-$D$19)/(F$32-$D$19)*$D$6)</f>
        <v>621.433846153846</v>
      </c>
      <c r="G34" s="50" t="n">
        <f aca="false">IF(G$32&lt;=$D$19,"n/m",($B34-$D$19)/(G$32-$D$19)*$D$6)</f>
        <v>577.045714285714</v>
      </c>
      <c r="H34" s="50" t="n">
        <f aca="false">IF(H$32&lt;=$D$19,"n/m",($B34-$D$19)/(H$32-$D$19)*$D$6)</f>
        <v>504.915</v>
      </c>
    </row>
    <row r="35" customFormat="false" ht="15" hidden="false" customHeight="false" outlineLevel="0" collapsed="false">
      <c r="B35" s="49" t="n">
        <v>0.18</v>
      </c>
      <c r="C35" s="50" t="n">
        <f aca="false">IF(C$32&lt;=$D$19,"n/m",($B35-$D$19)/(C$32-$D$19)*$D$6)</f>
        <v>942.508</v>
      </c>
      <c r="D35" s="50" t="n">
        <f aca="false">IF(D$32&lt;=$D$19,"n/m",($B35-$D$19)/(D$32-$D$19)*$D$6)</f>
        <v>856.825454545454</v>
      </c>
      <c r="E35" s="50" t="n">
        <f aca="false">IF(E$32&lt;=$D$19,"n/m",($B35-$D$19)/(E$32-$D$19)*$D$6)</f>
        <v>785.423333333333</v>
      </c>
      <c r="F35" s="50" t="n">
        <f aca="false">IF(F$32&lt;=$D$19,"n/m",($B35-$D$19)/(F$32-$D$19)*$D$6)</f>
        <v>725.006153846154</v>
      </c>
      <c r="G35" s="50" t="n">
        <f aca="false">IF(G$32&lt;=$D$19,"n/m",($B35-$D$19)/(G$32-$D$19)*$D$6)</f>
        <v>673.22</v>
      </c>
      <c r="H35" s="50" t="n">
        <f aca="false">IF(H$32&lt;=$D$19,"n/m",($B35-$D$19)/(H$32-$D$19)*$D$6)</f>
        <v>589.0675</v>
      </c>
    </row>
    <row r="36" customFormat="false" ht="15" hidden="false" customHeight="false" outlineLevel="0" collapsed="false">
      <c r="B36" s="49" t="n">
        <v>0.2</v>
      </c>
      <c r="C36" s="50" t="n">
        <f aca="false">IF(C$32&lt;=$D$19,"n/m",($B36-$D$19)/(C$32-$D$19)*$D$6)</f>
        <v>1077.152</v>
      </c>
      <c r="D36" s="50" t="n">
        <f aca="false">IF(D$32&lt;=$D$19,"n/m",($B36-$D$19)/(D$32-$D$19)*$D$6)</f>
        <v>979.229090909091</v>
      </c>
      <c r="E36" s="50" t="n">
        <f aca="false">IF(E$32&lt;=$D$19,"n/m",($B36-$D$19)/(E$32-$D$19)*$D$6)</f>
        <v>897.626666666667</v>
      </c>
      <c r="F36" s="50" t="n">
        <f aca="false">IF(F$32&lt;=$D$19,"n/m",($B36-$D$19)/(F$32-$D$19)*$D$6)</f>
        <v>828.578461538462</v>
      </c>
      <c r="G36" s="50" t="n">
        <f aca="false">IF(G$32&lt;=$D$19,"n/m",($B36-$D$19)/(G$32-$D$19)*$D$6)</f>
        <v>769.394285714286</v>
      </c>
      <c r="H36" s="50" t="n">
        <f aca="false">IF(H$32&lt;=$D$19,"n/m",($B36-$D$19)/(H$32-$D$19)*$D$6)</f>
        <v>673.22</v>
      </c>
    </row>
    <row r="37" customFormat="false" ht="15" hidden="false" customHeight="false" outlineLevel="0" collapsed="false">
      <c r="B37" s="49" t="n">
        <v>0.22</v>
      </c>
      <c r="C37" s="50" t="n">
        <f aca="false">IF(C$32&lt;=$D$19,"n/m",($B37-$D$19)/(C$32-$D$19)*$D$6)</f>
        <v>1211.796</v>
      </c>
      <c r="D37" s="50" t="n">
        <f aca="false">IF(D$32&lt;=$D$19,"n/m",($B37-$D$19)/(D$32-$D$19)*$D$6)</f>
        <v>1101.63272727273</v>
      </c>
      <c r="E37" s="50" t="n">
        <f aca="false">IF(E$32&lt;=$D$19,"n/m",($B37-$D$19)/(E$32-$D$19)*$D$6)</f>
        <v>1009.83</v>
      </c>
      <c r="F37" s="50" t="n">
        <f aca="false">IF(F$32&lt;=$D$19,"n/m",($B37-$D$19)/(F$32-$D$19)*$D$6)</f>
        <v>932.150769230769</v>
      </c>
      <c r="G37" s="50" t="n">
        <f aca="false">IF(G$32&lt;=$D$19,"n/m",($B37-$D$19)/(G$32-$D$19)*$D$6)</f>
        <v>865.568571428571</v>
      </c>
      <c r="H37" s="50" t="n">
        <f aca="false">IF(H$32&lt;=$D$19,"n/m",($B37-$D$19)/(H$32-$D$19)*$D$6)</f>
        <v>757.3725</v>
      </c>
    </row>
    <row r="38" customFormat="false" ht="15" hidden="false" customHeight="false" outlineLevel="0" collapsed="false">
      <c r="B38" s="49" t="n">
        <v>0.24</v>
      </c>
      <c r="C38" s="50" t="n">
        <f aca="false">IF(C$32&lt;=$D$19,"n/m",($B38-$D$19)/(C$32-$D$19)*$D$6)</f>
        <v>1346.44</v>
      </c>
      <c r="D38" s="50" t="n">
        <f aca="false">IF(D$32&lt;=$D$19,"n/m",($B38-$D$19)/(D$32-$D$19)*$D$6)</f>
        <v>1224.03636363636</v>
      </c>
      <c r="E38" s="50" t="n">
        <f aca="false">IF(E$32&lt;=$D$19,"n/m",($B38-$D$19)/(E$32-$D$19)*$D$6)</f>
        <v>1122.03333333333</v>
      </c>
      <c r="F38" s="50" t="n">
        <f aca="false">IF(F$32&lt;=$D$19,"n/m",($B38-$D$19)/(F$32-$D$19)*$D$6)</f>
        <v>1035.72307692308</v>
      </c>
      <c r="G38" s="50" t="n">
        <f aca="false">IF(G$32&lt;=$D$19,"n/m",($B38-$D$19)/(G$32-$D$19)*$D$6)</f>
        <v>961.742857142857</v>
      </c>
      <c r="H38" s="50" t="n">
        <f aca="false">IF(H$32&lt;=$D$19,"n/m",($B38-$D$19)/(H$32-$D$19)*$D$6)</f>
        <v>841.525</v>
      </c>
    </row>
    <row r="39" customFormat="false" ht="15" hidden="false" customHeight="false" outlineLevel="0" collapsed="false">
      <c r="B39" s="49" t="n">
        <v>0.26</v>
      </c>
      <c r="C39" s="50" t="n">
        <f aca="false">IF(C$32&lt;=$D$19,"n/m",($B39-$D$19)/(C$32-$D$19)*$D$6)</f>
        <v>1481.084</v>
      </c>
      <c r="D39" s="50" t="n">
        <f aca="false">IF(D$32&lt;=$D$19,"n/m",($B39-$D$19)/(D$32-$D$19)*$D$6)</f>
        <v>1346.44</v>
      </c>
      <c r="E39" s="50" t="n">
        <f aca="false">IF(E$32&lt;=$D$19,"n/m",($B39-$D$19)/(E$32-$D$19)*$D$6)</f>
        <v>1234.23666666667</v>
      </c>
      <c r="F39" s="50" t="n">
        <f aca="false">IF(F$32&lt;=$D$19,"n/m",($B39-$D$19)/(F$32-$D$19)*$D$6)</f>
        <v>1139.29538461538</v>
      </c>
      <c r="G39" s="50" t="n">
        <f aca="false">IF(G$32&lt;=$D$19,"n/m",($B39-$D$19)/(G$32-$D$19)*$D$6)</f>
        <v>1057.91714285714</v>
      </c>
      <c r="H39" s="50" t="n">
        <f aca="false">IF(H$32&lt;=$D$19,"n/m",($B39-$D$19)/(H$32-$D$19)*$D$6)</f>
        <v>925.6775</v>
      </c>
    </row>
    <row r="40" customFormat="false" ht="61.5" hidden="false" customHeight="true" outlineLevel="0" collapsed="false">
      <c r="B40" s="16" t="s">
        <v>139</v>
      </c>
      <c r="C40" s="16"/>
      <c r="D40" s="16"/>
      <c r="E40" s="16"/>
      <c r="F40" s="16"/>
      <c r="G40" s="16"/>
      <c r="H40" s="16"/>
      <c r="I40" s="16"/>
    </row>
    <row r="42" customFormat="false" ht="19.5" hidden="false" customHeight="true" outlineLevel="0" collapsed="false">
      <c r="A42" s="6" t="s">
        <v>140</v>
      </c>
      <c r="B42" s="6"/>
      <c r="C42" s="6"/>
      <c r="D42" s="6"/>
      <c r="E42" s="6"/>
      <c r="F42" s="6"/>
      <c r="G42" s="6"/>
      <c r="H42" s="6"/>
    </row>
    <row r="43" customFormat="false" ht="15" hidden="false" customHeight="false" outlineLevel="0" collapsed="false">
      <c r="B43" s="48" t="s">
        <v>141</v>
      </c>
      <c r="C43" s="49" t="n">
        <v>0.02</v>
      </c>
      <c r="D43" s="49" t="n">
        <v>0.03</v>
      </c>
      <c r="E43" s="49" t="n">
        <v>0.04</v>
      </c>
      <c r="F43" s="49" t="n">
        <v>0.05</v>
      </c>
      <c r="G43" s="49" t="n">
        <v>0.06</v>
      </c>
    </row>
    <row r="44" customFormat="false" ht="15" hidden="false" customHeight="false" outlineLevel="0" collapsed="false">
      <c r="B44" s="49" t="n">
        <v>0.14</v>
      </c>
      <c r="C44" s="50" t="n">
        <f aca="false">IF(C$43&gt;=$D$18,"n/m",($B44-C$43)/($D$18-C$43)*$D$6)</f>
        <v>475.214117647059</v>
      </c>
      <c r="D44" s="50" t="n">
        <f aca="false">IF(D$43&gt;=$D$18,"n/m",($B44-D$43)/($D$18-D$43)*$D$6)</f>
        <v>493.694666666667</v>
      </c>
      <c r="E44" s="50" t="n">
        <f aca="false">IF(E$43&gt;=$D$18,"n/m",($B44-E$43)/($D$18-E$43)*$D$6)</f>
        <v>517.861538461539</v>
      </c>
      <c r="F44" s="50" t="n">
        <f aca="false">IF(F$43&gt;=$D$18,"n/m",($B44-F$43)/($D$18-F$43)*$D$6)</f>
        <v>550.816363636364</v>
      </c>
      <c r="G44" s="50" t="n">
        <f aca="false">IF(G$43&gt;=$D$18,"n/m",($B44-G$43)/($D$18-G$43)*$D$6)</f>
        <v>598.417777777778</v>
      </c>
    </row>
    <row r="45" customFormat="false" ht="15" hidden="false" customHeight="false" outlineLevel="0" collapsed="false">
      <c r="B45" s="49" t="n">
        <v>0.16</v>
      </c>
      <c r="C45" s="50" t="n">
        <f aca="false">IF(C$43&gt;=$D$18,"n/m",($B45-C$43)/($D$18-C$43)*$D$6)</f>
        <v>554.416470588236</v>
      </c>
      <c r="D45" s="50" t="n">
        <f aca="false">IF(D$43&gt;=$D$18,"n/m",($B45-D$43)/($D$18-D$43)*$D$6)</f>
        <v>583.457333333333</v>
      </c>
      <c r="E45" s="50" t="n">
        <f aca="false">IF(E$43&gt;=$D$18,"n/m",($B45-E$43)/($D$18-E$43)*$D$6)</f>
        <v>621.433846153846</v>
      </c>
      <c r="F45" s="50" t="n">
        <f aca="false">IF(F$43&gt;=$D$18,"n/m",($B45-F$43)/($D$18-F$43)*$D$6)</f>
        <v>673.22</v>
      </c>
      <c r="G45" s="50" t="n">
        <f aca="false">IF(G$43&gt;=$D$18,"n/m",($B45-G$43)/($D$18-G$43)*$D$6)</f>
        <v>748.022222222222</v>
      </c>
    </row>
    <row r="46" customFormat="false" ht="15" hidden="false" customHeight="false" outlineLevel="0" collapsed="false">
      <c r="B46" s="49" t="n">
        <v>0.18</v>
      </c>
      <c r="C46" s="50" t="n">
        <f aca="false">IF(C$43&gt;=$D$18,"n/m",($B46-C$43)/($D$18-C$43)*$D$6)</f>
        <v>633.618823529412</v>
      </c>
      <c r="D46" s="50" t="n">
        <f aca="false">IF(D$43&gt;=$D$18,"n/m",($B46-D$43)/($D$18-D$43)*$D$6)</f>
        <v>673.22</v>
      </c>
      <c r="E46" s="50" t="n">
        <f aca="false">IF(E$43&gt;=$D$18,"n/m",($B46-E$43)/($D$18-E$43)*$D$6)</f>
        <v>725.006153846154</v>
      </c>
      <c r="F46" s="50" t="n">
        <f aca="false">IF(F$43&gt;=$D$18,"n/m",($B46-F$43)/($D$18-F$43)*$D$6)</f>
        <v>795.623636363637</v>
      </c>
      <c r="G46" s="50" t="n">
        <f aca="false">IF(G$43&gt;=$D$18,"n/m",($B46-G$43)/($D$18-G$43)*$D$6)</f>
        <v>897.626666666667</v>
      </c>
    </row>
    <row r="47" customFormat="false" ht="15" hidden="false" customHeight="false" outlineLevel="0" collapsed="false">
      <c r="B47" s="49" t="n">
        <v>0.2</v>
      </c>
      <c r="C47" s="50" t="n">
        <f aca="false">IF(C$43&gt;=$D$18,"n/m",($B47-C$43)/($D$18-C$43)*$D$6)</f>
        <v>712.821176470588</v>
      </c>
      <c r="D47" s="50" t="n">
        <f aca="false">IF(D$43&gt;=$D$18,"n/m",($B47-D$43)/($D$18-D$43)*$D$6)</f>
        <v>762.982666666667</v>
      </c>
      <c r="E47" s="50" t="n">
        <f aca="false">IF(E$43&gt;=$D$18,"n/m",($B47-E$43)/($D$18-E$43)*$D$6)</f>
        <v>828.578461538462</v>
      </c>
      <c r="F47" s="50" t="n">
        <f aca="false">IF(F$43&gt;=$D$18,"n/m",($B47-F$43)/($D$18-F$43)*$D$6)</f>
        <v>918.027272727273</v>
      </c>
      <c r="G47" s="50" t="n">
        <f aca="false">IF(G$43&gt;=$D$18,"n/m",($B47-G$43)/($D$18-G$43)*$D$6)</f>
        <v>1047.23111111111</v>
      </c>
    </row>
    <row r="48" customFormat="false" ht="15" hidden="false" customHeight="false" outlineLevel="0" collapsed="false">
      <c r="B48" s="49" t="n">
        <v>0.22</v>
      </c>
      <c r="C48" s="50" t="n">
        <f aca="false">IF(C$43&gt;=$D$18,"n/m",($B48-C$43)/($D$18-C$43)*$D$6)</f>
        <v>792.023529411765</v>
      </c>
      <c r="D48" s="50" t="n">
        <f aca="false">IF(D$43&gt;=$D$18,"n/m",($B48-D$43)/($D$18-D$43)*$D$6)</f>
        <v>852.745333333334</v>
      </c>
      <c r="E48" s="50" t="n">
        <f aca="false">IF(E$43&gt;=$D$18,"n/m",($B48-E$43)/($D$18-E$43)*$D$6)</f>
        <v>932.150769230769</v>
      </c>
      <c r="F48" s="50" t="n">
        <f aca="false">IF(F$43&gt;=$D$18,"n/m",($B48-F$43)/($D$18-F$43)*$D$6)</f>
        <v>1040.43090909091</v>
      </c>
      <c r="G48" s="50" t="n">
        <f aca="false">IF(G$43&gt;=$D$18,"n/m",($B48-G$43)/($D$18-G$43)*$D$6)</f>
        <v>1196.83555555556</v>
      </c>
    </row>
    <row r="49" customFormat="false" ht="15" hidden="false" customHeight="false" outlineLevel="0" collapsed="false">
      <c r="B49" s="49" t="n">
        <v>0.24</v>
      </c>
      <c r="C49" s="50" t="n">
        <f aca="false">IF(C$43&gt;=$D$18,"n/m",($B49-C$43)/($D$18-C$43)*$D$6)</f>
        <v>871.225882352941</v>
      </c>
      <c r="D49" s="50" t="n">
        <f aca="false">IF(D$43&gt;=$D$18,"n/m",($B49-D$43)/($D$18-D$43)*$D$6)</f>
        <v>942.508</v>
      </c>
      <c r="E49" s="50" t="n">
        <f aca="false">IF(E$43&gt;=$D$18,"n/m",($B49-E$43)/($D$18-E$43)*$D$6)</f>
        <v>1035.72307692308</v>
      </c>
      <c r="F49" s="50" t="n">
        <f aca="false">IF(F$43&gt;=$D$18,"n/m",($B49-F$43)/($D$18-F$43)*$D$6)</f>
        <v>1162.83454545455</v>
      </c>
      <c r="G49" s="50" t="n">
        <f aca="false">IF(G$43&gt;=$D$18,"n/m",($B49-G$43)/($D$18-G$43)*$D$6)</f>
        <v>1346.44</v>
      </c>
    </row>
    <row r="50" customFormat="false" ht="15" hidden="false" customHeight="false" outlineLevel="0" collapsed="false">
      <c r="B50" s="49" t="n">
        <v>0.26</v>
      </c>
      <c r="C50" s="50" t="n">
        <f aca="false">IF(C$43&gt;=$D$18,"n/m",($B50-C$43)/($D$18-C$43)*$D$6)</f>
        <v>950.428235294118</v>
      </c>
      <c r="D50" s="50" t="n">
        <f aca="false">IF(D$43&gt;=$D$18,"n/m",($B50-D$43)/($D$18-D$43)*$D$6)</f>
        <v>1032.27066666667</v>
      </c>
      <c r="E50" s="50" t="n">
        <f aca="false">IF(E$43&gt;=$D$18,"n/m",($B50-E$43)/($D$18-E$43)*$D$6)</f>
        <v>1139.29538461538</v>
      </c>
      <c r="F50" s="50" t="n">
        <f aca="false">IF(F$43&gt;=$D$18,"n/m",($B50-F$43)/($D$18-F$43)*$D$6)</f>
        <v>1285.23818181818</v>
      </c>
      <c r="G50" s="50" t="n">
        <f aca="false">IF(G$43&gt;=$D$18,"n/m",($B50-G$43)/($D$18-G$43)*$D$6)</f>
        <v>1496.04444444444</v>
      </c>
    </row>
    <row r="53" customFormat="false" ht="19.5" hidden="false" customHeight="true" outlineLevel="0" collapsed="false">
      <c r="A53" s="6" t="s">
        <v>142</v>
      </c>
      <c r="B53" s="6"/>
      <c r="C53" s="6"/>
      <c r="D53" s="6"/>
      <c r="E53" s="6"/>
      <c r="F53" s="6"/>
      <c r="G53" s="6"/>
      <c r="H53" s="6"/>
    </row>
    <row r="54" customFormat="false" ht="25.5" hidden="false" customHeight="true" outlineLevel="0" collapsed="false">
      <c r="B54" s="19" t="s">
        <v>143</v>
      </c>
      <c r="C54" s="19" t="s">
        <v>144</v>
      </c>
      <c r="D54" s="19" t="s">
        <v>145</v>
      </c>
    </row>
    <row r="55" customFormat="false" ht="15" hidden="false" customHeight="false" outlineLevel="0" collapsed="false">
      <c r="B55" s="20" t="s">
        <v>146</v>
      </c>
      <c r="C55" s="21" t="n">
        <v>100443</v>
      </c>
      <c r="J55" s="3" t="s">
        <v>147</v>
      </c>
    </row>
    <row r="56" customFormat="false" ht="15" hidden="false" customHeight="false" outlineLevel="0" collapsed="false">
      <c r="B56" s="20" t="s">
        <v>148</v>
      </c>
      <c r="C56" s="51" t="n">
        <f aca="false">Cover_Shares</f>
        <v>298.4</v>
      </c>
      <c r="J56" s="3" t="s">
        <v>109</v>
      </c>
    </row>
    <row r="57" customFormat="false" ht="15" hidden="false" customHeight="false" outlineLevel="0" collapsed="false">
      <c r="B57" s="20" t="s">
        <v>149</v>
      </c>
      <c r="C57" s="52" t="n">
        <f aca="false">C55/C56</f>
        <v>336.605227882038</v>
      </c>
      <c r="J57" s="3" t="s">
        <v>150</v>
      </c>
    </row>
    <row r="58" customFormat="false" ht="15" hidden="false" customHeight="false" outlineLevel="0" collapsed="false">
      <c r="B58" s="20" t="s">
        <v>151</v>
      </c>
      <c r="C58" s="53" t="n">
        <v>20000</v>
      </c>
      <c r="J58" s="3" t="s">
        <v>152</v>
      </c>
    </row>
    <row r="59" customFormat="false" ht="15" hidden="false" customHeight="false" outlineLevel="0" collapsed="false">
      <c r="B59" s="20" t="s">
        <v>153</v>
      </c>
      <c r="C59" s="53" t="n">
        <v>-5900</v>
      </c>
      <c r="J59" s="3" t="s">
        <v>154</v>
      </c>
    </row>
    <row r="60" customFormat="false" ht="15" hidden="false" customHeight="false" outlineLevel="0" collapsed="false">
      <c r="B60" s="20" t="s">
        <v>155</v>
      </c>
      <c r="C60" s="53" t="n">
        <v>-16000</v>
      </c>
      <c r="J60" s="3" t="s">
        <v>156</v>
      </c>
    </row>
    <row r="61" customFormat="false" ht="15" hidden="false" customHeight="false" outlineLevel="0" collapsed="false">
      <c r="B61" s="20" t="s">
        <v>157</v>
      </c>
      <c r="C61" s="54" t="n">
        <f aca="false">Cover_Price</f>
        <v>1033.99</v>
      </c>
      <c r="J61" s="3" t="s">
        <v>158</v>
      </c>
    </row>
    <row r="62" customFormat="false" ht="15" hidden="false" customHeight="false" outlineLevel="0" collapsed="false">
      <c r="B62" s="20" t="s">
        <v>159</v>
      </c>
      <c r="C62" s="55" t="n">
        <f aca="false">-C60/C61</f>
        <v>15.4740374665132</v>
      </c>
      <c r="J62" s="3" t="s">
        <v>160</v>
      </c>
    </row>
    <row r="63" customFormat="false" ht="15" hidden="false" customHeight="false" outlineLevel="0" collapsed="false">
      <c r="B63" s="20" t="s">
        <v>161</v>
      </c>
      <c r="C63" s="50" t="n">
        <f aca="false">C55+C58+C59+C60</f>
        <v>98543</v>
      </c>
      <c r="J63" s="3" t="s">
        <v>162</v>
      </c>
    </row>
    <row r="64" customFormat="false" ht="15" hidden="false" customHeight="false" outlineLevel="0" collapsed="false">
      <c r="B64" s="20" t="s">
        <v>163</v>
      </c>
      <c r="C64" s="55" t="n">
        <f aca="false">C56-C62</f>
        <v>282.925962533487</v>
      </c>
      <c r="J64" s="3" t="s">
        <v>164</v>
      </c>
    </row>
    <row r="65" customFormat="false" ht="15" hidden="false" customHeight="false" outlineLevel="0" collapsed="false">
      <c r="B65" s="20" t="s">
        <v>165</v>
      </c>
      <c r="C65" s="52" t="n">
        <f aca="false">C63/C64</f>
        <v>348.299601484387</v>
      </c>
      <c r="J65" s="3" t="s">
        <v>166</v>
      </c>
    </row>
    <row r="66" customFormat="false" ht="15" hidden="false" customHeight="false" outlineLevel="0" collapsed="false">
      <c r="B66" s="20" t="s">
        <v>167</v>
      </c>
      <c r="C66" s="39" t="n">
        <f aca="false">C65/C57-1</f>
        <v>0.034742103311739</v>
      </c>
      <c r="J66" s="3" t="s">
        <v>168</v>
      </c>
    </row>
    <row r="67" customFormat="false" ht="15" hidden="false" customHeight="false" outlineLevel="0" collapsed="false">
      <c r="B67" s="20" t="s">
        <v>169</v>
      </c>
      <c r="C67" s="56" t="n">
        <f aca="false">(-C59-C60)/C58</f>
        <v>1.095</v>
      </c>
      <c r="J67" s="3" t="s">
        <v>170</v>
      </c>
    </row>
    <row r="68" customFormat="false" ht="15" hidden="false" customHeight="false" outlineLevel="0" collapsed="false">
      <c r="B68" s="20" t="s">
        <v>171</v>
      </c>
      <c r="C68" s="57" t="n">
        <f aca="false">C61/C57</f>
        <v>3.07181800623239</v>
      </c>
      <c r="J68" s="3" t="s">
        <v>172</v>
      </c>
    </row>
    <row r="70" customFormat="false" ht="117.75" hidden="false" customHeight="true" outlineLevel="0" collapsed="false">
      <c r="B70" s="16" t="s">
        <v>173</v>
      </c>
      <c r="C70" s="16"/>
      <c r="D70" s="16"/>
      <c r="E70" s="16"/>
      <c r="F70" s="16"/>
      <c r="G70" s="16"/>
      <c r="H70" s="16"/>
      <c r="I70" s="16"/>
    </row>
    <row r="72" customFormat="false" ht="99.75" hidden="false" customHeight="true" outlineLevel="0" collapsed="false">
      <c r="B72" s="16" t="s">
        <v>174</v>
      </c>
      <c r="C72" s="16"/>
      <c r="D72" s="16"/>
      <c r="E72" s="16"/>
      <c r="F72" s="16"/>
      <c r="G72" s="16"/>
      <c r="H72" s="16"/>
      <c r="I72" s="16"/>
    </row>
  </sheetData>
  <mergeCells count="13">
    <mergeCell ref="A2:H2"/>
    <mergeCell ref="B3:I3"/>
    <mergeCell ref="A5:H5"/>
    <mergeCell ref="A16:H16"/>
    <mergeCell ref="A21:H21"/>
    <mergeCell ref="A26:H26"/>
    <mergeCell ref="B29:I29"/>
    <mergeCell ref="A31:H31"/>
    <mergeCell ref="B40:I40"/>
    <mergeCell ref="A42:H42"/>
    <mergeCell ref="A53:H53"/>
    <mergeCell ref="B70:I70"/>
    <mergeCell ref="B72:I72"/>
  </mergeCells>
  <conditionalFormatting sqref="C33:H39">
    <cfRule type="colorScale" priority="2">
      <colorScale>
        <cfvo type="min" val="0"/>
        <cfvo type="percentile" val="50"/>
        <cfvo type="max" val="0"/>
        <color rgb="FFF8696B"/>
        <color rgb="FFFFEB84"/>
        <color rgb="FF63BE7B"/>
      </colorScale>
    </cfRule>
  </conditionalFormatting>
  <conditionalFormatting sqref="C44:G50">
    <cfRule type="colorScale" priority="3">
      <colorScale>
        <cfvo type="min" val="0"/>
        <cfvo type="percentile" val="50"/>
        <cfvo type="max" val="0"/>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I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8" min="3" style="0" width="14"/>
    <col collapsed="false" customWidth="true" hidden="false" outlineLevel="0" max="9" min="9" style="0" width="40"/>
    <col collapsed="false" customWidth="true" hidden="false" outlineLevel="0" max="10" min="10" style="0" width="3"/>
  </cols>
  <sheetData>
    <row r="2" customFormat="false" ht="19.5" hidden="false" customHeight="true" outlineLevel="0" collapsed="false">
      <c r="A2" s="6" t="s">
        <v>175</v>
      </c>
      <c r="B2" s="6"/>
      <c r="C2" s="6"/>
      <c r="D2" s="6"/>
      <c r="E2" s="6"/>
      <c r="F2" s="6"/>
      <c r="G2" s="6"/>
    </row>
    <row r="3" customFormat="false" ht="61.5" hidden="false" customHeight="true" outlineLevel="0" collapsed="false">
      <c r="B3" s="16" t="s">
        <v>176</v>
      </c>
      <c r="C3" s="16"/>
      <c r="D3" s="16"/>
      <c r="E3" s="16"/>
      <c r="F3" s="16"/>
      <c r="G3" s="16"/>
      <c r="H3" s="16"/>
      <c r="I3" s="16"/>
    </row>
    <row r="5" customFormat="false" ht="25.5" hidden="false" customHeight="true" outlineLevel="0" collapsed="false">
      <c r="B5" s="19" t="s">
        <v>177</v>
      </c>
      <c r="C5" s="19" t="s">
        <v>178</v>
      </c>
      <c r="D5" s="19" t="s">
        <v>179</v>
      </c>
      <c r="E5" s="19" t="s">
        <v>180</v>
      </c>
      <c r="F5" s="19" t="s">
        <v>181</v>
      </c>
      <c r="G5" s="19" t="s">
        <v>182</v>
      </c>
      <c r="H5" s="19" t="s">
        <v>183</v>
      </c>
    </row>
    <row r="6" customFormat="false" ht="15" hidden="false" customHeight="false" outlineLevel="0" collapsed="false">
      <c r="B6" s="58" t="s">
        <v>184</v>
      </c>
      <c r="C6" s="54" t="n">
        <f aca="false">Cover_Price</f>
        <v>1033.99</v>
      </c>
      <c r="D6" s="54" t="n">
        <f aca="false">Cover_TBVPS</f>
        <v>336.61</v>
      </c>
      <c r="E6" s="59" t="n">
        <f aca="false">C6/D6</f>
        <v>3.07177445708684</v>
      </c>
      <c r="F6" s="35" t="n">
        <v>0.255</v>
      </c>
      <c r="G6" s="60" t="s">
        <v>185</v>
      </c>
      <c r="H6" s="61" t="s">
        <v>186</v>
      </c>
    </row>
    <row r="7" customFormat="false" ht="22.35" hidden="false" customHeight="false" outlineLevel="0" collapsed="false">
      <c r="B7" s="20" t="s">
        <v>187</v>
      </c>
      <c r="C7" s="30" t="n">
        <v>214.2</v>
      </c>
      <c r="D7" s="30" t="n">
        <v>53.18</v>
      </c>
      <c r="E7" s="57" t="n">
        <f aca="false">IFERROR(C7/D7,"-")</f>
        <v>4.02783001128244</v>
      </c>
      <c r="F7" s="35" t="n">
        <v>0.266</v>
      </c>
      <c r="G7" s="60" t="s">
        <v>188</v>
      </c>
      <c r="H7" s="61" t="s">
        <v>189</v>
      </c>
    </row>
    <row r="8" customFormat="false" ht="22.35" hidden="false" customHeight="false" outlineLevel="0" collapsed="false">
      <c r="B8" s="20" t="s">
        <v>190</v>
      </c>
      <c r="C8" s="30" t="n">
        <v>341.1</v>
      </c>
      <c r="D8" s="62" t="s">
        <v>191</v>
      </c>
      <c r="E8" s="63" t="n">
        <v>3.27</v>
      </c>
      <c r="F8" s="35" t="n">
        <v>0.23</v>
      </c>
      <c r="G8" s="60" t="s">
        <v>192</v>
      </c>
      <c r="H8" s="61" t="s">
        <v>193</v>
      </c>
    </row>
    <row r="9" customFormat="false" ht="15" hidden="false" customHeight="false" outlineLevel="0" collapsed="false">
      <c r="B9" s="20" t="s">
        <v>194</v>
      </c>
      <c r="C9" s="62" t="s">
        <v>191</v>
      </c>
      <c r="D9" s="62" t="s">
        <v>191</v>
      </c>
      <c r="E9" s="63" t="n">
        <v>2.14</v>
      </c>
      <c r="F9" s="35" t="n">
        <v>0.18</v>
      </c>
      <c r="G9" s="60" t="s">
        <v>195</v>
      </c>
      <c r="H9" s="61" t="s">
        <v>196</v>
      </c>
    </row>
    <row r="11" customFormat="false" ht="15" hidden="false" customHeight="false" outlineLevel="0" collapsed="false">
      <c r="B11" s="7" t="s">
        <v>197</v>
      </c>
      <c r="E11" s="12" t="n">
        <v>1.35</v>
      </c>
      <c r="H11" s="3" t="s">
        <v>198</v>
      </c>
    </row>
    <row r="12" customFormat="false" ht="15" hidden="false" customHeight="false" outlineLevel="0" collapsed="false">
      <c r="B12" s="7" t="s">
        <v>199</v>
      </c>
      <c r="E12" s="12" t="n">
        <v>1.94</v>
      </c>
      <c r="H12" s="3" t="s">
        <v>200</v>
      </c>
    </row>
    <row r="14" customFormat="false" ht="87.75" hidden="false" customHeight="true" outlineLevel="0" collapsed="false">
      <c r="B14" s="16" t="s">
        <v>201</v>
      </c>
      <c r="C14" s="16"/>
      <c r="D14" s="16"/>
      <c r="E14" s="16"/>
      <c r="F14" s="16"/>
      <c r="G14" s="16"/>
      <c r="H14" s="16"/>
      <c r="I14" s="16"/>
    </row>
    <row r="16" customFormat="false" ht="19.5" hidden="false" customHeight="true" outlineLevel="0" collapsed="false">
      <c r="A16" s="6" t="s">
        <v>202</v>
      </c>
      <c r="B16" s="6"/>
      <c r="C16" s="6"/>
      <c r="D16" s="6"/>
      <c r="E16" s="6"/>
      <c r="F16" s="6"/>
      <c r="G16" s="6"/>
    </row>
    <row r="17" customFormat="false" ht="15" hidden="false" customHeight="false" outlineLevel="0" collapsed="false">
      <c r="B17" s="7" t="s">
        <v>203</v>
      </c>
      <c r="D17" s="64" t="n">
        <f aca="false">(E7-E9)/(F7-F9)</f>
        <v>21.9515117590981</v>
      </c>
    </row>
    <row r="18" customFormat="false" ht="15" hidden="false" customHeight="false" outlineLevel="0" collapsed="false">
      <c r="B18" s="7" t="s">
        <v>204</v>
      </c>
      <c r="D18" s="64" t="n">
        <f aca="false">E9-$D$17*F9</f>
        <v>-1.81127211663766</v>
      </c>
    </row>
    <row r="19" customFormat="false" ht="15" hidden="false" customHeight="false" outlineLevel="0" collapsed="false">
      <c r="B19" s="7" t="s">
        <v>205</v>
      </c>
      <c r="D19" s="11" t="n">
        <f aca="false">$D$18+$D$17*F6</f>
        <v>3.78636338193236</v>
      </c>
    </row>
    <row r="20" customFormat="false" ht="15" hidden="false" customHeight="false" outlineLevel="0" collapsed="false">
      <c r="B20" s="7" t="s">
        <v>206</v>
      </c>
      <c r="D20" s="11" t="n">
        <f aca="false">E6</f>
        <v>3.07177445708684</v>
      </c>
    </row>
    <row r="21" customFormat="false" ht="43.5" hidden="false" customHeight="true" outlineLevel="0" collapsed="false">
      <c r="B21" s="16" t="s">
        <v>207</v>
      </c>
      <c r="C21" s="16"/>
      <c r="D21" s="16"/>
      <c r="E21" s="16"/>
      <c r="F21" s="16"/>
      <c r="G21" s="16"/>
      <c r="H21" s="16"/>
      <c r="I21" s="16"/>
    </row>
    <row r="23" customFormat="false" ht="19.5" hidden="false" customHeight="true" outlineLevel="0" collapsed="false">
      <c r="A23" s="6" t="s">
        <v>208</v>
      </c>
      <c r="B23" s="6"/>
      <c r="C23" s="6"/>
      <c r="D23" s="6"/>
      <c r="E23" s="6"/>
      <c r="F23" s="6"/>
      <c r="G23" s="6"/>
    </row>
    <row r="24" customFormat="false" ht="25.5" hidden="false" customHeight="true" outlineLevel="0" collapsed="false">
      <c r="B24" s="19"/>
      <c r="C24" s="19" t="s">
        <v>209</v>
      </c>
      <c r="D24" s="19" t="s">
        <v>210</v>
      </c>
      <c r="E24" s="19" t="s">
        <v>211</v>
      </c>
    </row>
    <row r="25" customFormat="false" ht="15" hidden="false" customHeight="false" outlineLevel="0" collapsed="false">
      <c r="B25" s="20" t="s">
        <v>123</v>
      </c>
      <c r="C25" s="65" t="n">
        <v>0.15</v>
      </c>
      <c r="D25" s="65" t="n">
        <v>0.19</v>
      </c>
      <c r="E25" s="65" t="n">
        <v>0.24</v>
      </c>
      <c r="I25" s="3" t="s">
        <v>212</v>
      </c>
    </row>
    <row r="26" customFormat="false" ht="15" hidden="false" customHeight="false" outlineLevel="0" collapsed="false">
      <c r="B26" s="20" t="s">
        <v>213</v>
      </c>
      <c r="C26" s="65" t="n">
        <v>0.115</v>
      </c>
      <c r="D26" s="65" t="n">
        <v>0.105</v>
      </c>
      <c r="E26" s="65" t="n">
        <v>0.095</v>
      </c>
      <c r="I26" s="3" t="s">
        <v>214</v>
      </c>
    </row>
    <row r="27" customFormat="false" ht="15" hidden="false" customHeight="false" outlineLevel="0" collapsed="false">
      <c r="B27" s="20" t="s">
        <v>215</v>
      </c>
      <c r="C27" s="65" t="n">
        <v>0.035</v>
      </c>
      <c r="D27" s="65" t="n">
        <v>0.04</v>
      </c>
      <c r="E27" s="65" t="n">
        <v>0.045</v>
      </c>
    </row>
    <row r="28" customFormat="false" ht="15" hidden="false" customHeight="false" outlineLevel="0" collapsed="false">
      <c r="B28" s="20" t="s">
        <v>216</v>
      </c>
      <c r="C28" s="52" t="n">
        <f aca="false">Fwd_TBVPS</f>
        <v>348.299601484387</v>
      </c>
      <c r="D28" s="52" t="n">
        <f aca="false">Fwd_TBVPS</f>
        <v>348.299601484387</v>
      </c>
      <c r="E28" s="52" t="n">
        <f aca="false">Fwd_TBVPS</f>
        <v>348.299601484387</v>
      </c>
      <c r="I28" s="3" t="s">
        <v>217</v>
      </c>
    </row>
    <row r="30" customFormat="false" ht="15" hidden="false" customHeight="false" outlineLevel="0" collapsed="false">
      <c r="B30" s="20" t="s">
        <v>218</v>
      </c>
      <c r="C30" s="57" t="n">
        <f aca="false">IF(C27&gt;=C26,"n/m",(C25-C27)/(C26-C27))</f>
        <v>1.4375</v>
      </c>
      <c r="D30" s="57" t="n">
        <f aca="false">IF(D27&gt;=D26,"n/m",(D25-D27)/(D26-D27))</f>
        <v>2.30769230769231</v>
      </c>
      <c r="E30" s="57" t="n">
        <f aca="false">IF(E27&gt;=E26,"n/m",(E25-E27)/(E26-E27))</f>
        <v>3.9</v>
      </c>
    </row>
    <row r="31" customFormat="false" ht="15" hidden="false" customHeight="false" outlineLevel="0" collapsed="false">
      <c r="B31" s="27" t="s">
        <v>219</v>
      </c>
      <c r="C31" s="28" t="n">
        <f aca="false">IFERROR(C30*C28,"n/m")</f>
        <v>500.680677133806</v>
      </c>
      <c r="D31" s="28" t="n">
        <f aca="false">IFERROR(D30*D28,"n/m")</f>
        <v>803.768311117816</v>
      </c>
      <c r="E31" s="28" t="n">
        <f aca="false">IFERROR(E30*E28,"n/m")</f>
        <v>1358.36844578911</v>
      </c>
    </row>
    <row r="32" customFormat="false" ht="15" hidden="false" customHeight="false" outlineLevel="0" collapsed="false">
      <c r="B32" s="20" t="s">
        <v>220</v>
      </c>
      <c r="C32" s="57" t="n">
        <f aca="false">$D$18+$D$17*C25</f>
        <v>1.48145464722706</v>
      </c>
      <c r="D32" s="57" t="n">
        <f aca="false">$D$18+$D$17*D25</f>
        <v>2.35951511759098</v>
      </c>
      <c r="E32" s="57" t="n">
        <f aca="false">$D$18+$D$17*E25</f>
        <v>3.45709070554589</v>
      </c>
    </row>
    <row r="33" customFormat="false" ht="15" hidden="false" customHeight="false" outlineLevel="0" collapsed="false">
      <c r="B33" s="27" t="s">
        <v>221</v>
      </c>
      <c r="C33" s="28" t="n">
        <f aca="false">C32*C28</f>
        <v>515.990063246377</v>
      </c>
      <c r="D33" s="28" t="n">
        <f aca="false">D32*D28</f>
        <v>821.818175153325</v>
      </c>
      <c r="E33" s="28" t="n">
        <f aca="false">E32*E28</f>
        <v>1204.10331503701</v>
      </c>
    </row>
    <row r="35" customFormat="false" ht="15" hidden="false" customHeight="false" outlineLevel="0" collapsed="false">
      <c r="B35" s="27" t="s">
        <v>222</v>
      </c>
      <c r="C35" s="28" t="n">
        <f aca="false">AVERAGE(C31,C33)</f>
        <v>508.335370190091</v>
      </c>
      <c r="D35" s="28" t="n">
        <f aca="false">AVERAGE(D31,D33)</f>
        <v>812.79324313557</v>
      </c>
      <c r="E35" s="28" t="n">
        <f aca="false">AVERAGE(E31,E33)</f>
        <v>1281.23588041306</v>
      </c>
      <c r="I35" s="3" t="s">
        <v>223</v>
      </c>
    </row>
    <row r="36" customFormat="false" ht="15" hidden="false" customHeight="false" outlineLevel="0" collapsed="false">
      <c r="B36" s="20" t="s">
        <v>224</v>
      </c>
      <c r="C36" s="39" t="n">
        <f aca="false">IFERROR(C35/Cover_Price-1,"-")</f>
        <v>-0.508374964757791</v>
      </c>
      <c r="D36" s="39" t="n">
        <f aca="false">IFERROR(D35/Cover_Price-1,"-")</f>
        <v>-0.213925431449463</v>
      </c>
      <c r="E36" s="39" t="n">
        <f aca="false">IFERROR(E35/Cover_Price-1,"-")</f>
        <v>0.239118251059545</v>
      </c>
    </row>
    <row r="38" customFormat="false" ht="15" hidden="false" customHeight="false" outlineLevel="0" collapsed="false">
      <c r="B38" s="20" t="s">
        <v>225</v>
      </c>
      <c r="C38" s="66" t="n">
        <v>0.25</v>
      </c>
      <c r="D38" s="66" t="n">
        <v>0.5</v>
      </c>
      <c r="E38" s="66" t="n">
        <v>0.25</v>
      </c>
      <c r="I38" s="3" t="s">
        <v>226</v>
      </c>
    </row>
    <row r="39" customFormat="false" ht="15" hidden="false" customHeight="false" outlineLevel="0" collapsed="false">
      <c r="B39" s="27" t="s">
        <v>227</v>
      </c>
      <c r="D39" s="28" t="n">
        <f aca="false">SUMPRODUCT(C35:E35,C38:E38)</f>
        <v>853.789434218573</v>
      </c>
    </row>
    <row r="40" customFormat="false" ht="15" hidden="false" customHeight="false" outlineLevel="0" collapsed="false">
      <c r="B40" s="27" t="s">
        <v>39</v>
      </c>
      <c r="D40" s="33" t="n">
        <f aca="false">IFERROR(D39/Cover_Price-1,"-")</f>
        <v>-0.174276894149293</v>
      </c>
    </row>
    <row r="42" customFormat="false" ht="109.5" hidden="false" customHeight="true" outlineLevel="0" collapsed="false">
      <c r="B42" s="16" t="s">
        <v>228</v>
      </c>
      <c r="C42" s="16"/>
      <c r="D42" s="16"/>
      <c r="E42" s="16"/>
      <c r="F42" s="16"/>
      <c r="G42" s="16"/>
      <c r="H42" s="16"/>
      <c r="I42" s="16"/>
    </row>
  </sheetData>
  <mergeCells count="7">
    <mergeCell ref="A2:G2"/>
    <mergeCell ref="B3:I3"/>
    <mergeCell ref="B14:I14"/>
    <mergeCell ref="A16:G16"/>
    <mergeCell ref="B21:I21"/>
    <mergeCell ref="A23:G23"/>
    <mergeCell ref="B42:I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6"/>
    <col collapsed="false" customWidth="true" hidden="false" outlineLevel="0" max="3" min="3" style="0" width="24"/>
    <col collapsed="false" customWidth="true" hidden="false" outlineLevel="0" max="4" min="4" style="0" width="16"/>
    <col collapsed="false" customWidth="true" hidden="false" outlineLevel="0" max="5" min="5" style="0" width="15"/>
    <col collapsed="false" customWidth="true" hidden="false" outlineLevel="0" max="6" min="6" style="0" width="16"/>
    <col collapsed="false" customWidth="true" hidden="false" outlineLevel="0" max="7" min="7" style="0" width="52"/>
    <col collapsed="false" customWidth="true" hidden="false" outlineLevel="0" max="8" min="8" style="0" width="3"/>
  </cols>
  <sheetData>
    <row r="2" customFormat="false" ht="19.5" hidden="false" customHeight="true" outlineLevel="0" collapsed="false">
      <c r="A2" s="6" t="s">
        <v>229</v>
      </c>
      <c r="B2" s="6"/>
      <c r="C2" s="6"/>
      <c r="D2" s="6"/>
      <c r="E2" s="6"/>
      <c r="F2" s="6"/>
    </row>
    <row r="4" customFormat="false" ht="25.5" hidden="false" customHeight="true" outlineLevel="0" collapsed="false">
      <c r="B4" s="19" t="s">
        <v>230</v>
      </c>
      <c r="C4" s="19" t="s">
        <v>231</v>
      </c>
      <c r="D4" s="19" t="s">
        <v>232</v>
      </c>
      <c r="E4" s="19" t="s">
        <v>233</v>
      </c>
      <c r="F4" s="19" t="s">
        <v>234</v>
      </c>
      <c r="G4" s="19" t="s">
        <v>145</v>
      </c>
    </row>
    <row r="5" customFormat="false" ht="22.35" hidden="false" customHeight="false" outlineLevel="0" collapsed="false">
      <c r="B5" s="67" t="s">
        <v>235</v>
      </c>
      <c r="C5" s="67" t="s">
        <v>236</v>
      </c>
      <c r="D5" s="68" t="s">
        <v>237</v>
      </c>
      <c r="E5" s="62" t="s">
        <v>191</v>
      </c>
      <c r="F5" s="62" t="s">
        <v>238</v>
      </c>
      <c r="G5" s="61" t="s">
        <v>239</v>
      </c>
    </row>
    <row r="6" customFormat="false" ht="15" hidden="false" customHeight="false" outlineLevel="0" collapsed="false">
      <c r="B6" s="67" t="s">
        <v>240</v>
      </c>
      <c r="C6" s="67" t="s">
        <v>241</v>
      </c>
      <c r="D6" s="68" t="s">
        <v>242</v>
      </c>
      <c r="E6" s="21" t="n">
        <v>900</v>
      </c>
      <c r="F6" s="39" t="n">
        <f aca="false">IFERROR(E6/Cover_Price-1,"-")</f>
        <v>-0.129585392508632</v>
      </c>
      <c r="G6" s="61" t="s">
        <v>243</v>
      </c>
    </row>
    <row r="7" customFormat="false" ht="15" hidden="false" customHeight="false" outlineLevel="0" collapsed="false">
      <c r="B7" s="67" t="s">
        <v>244</v>
      </c>
      <c r="C7" s="67" t="s">
        <v>245</v>
      </c>
      <c r="D7" s="68" t="s">
        <v>246</v>
      </c>
      <c r="E7" s="21" t="n">
        <v>1021</v>
      </c>
      <c r="F7" s="39" t="n">
        <f aca="false">IFERROR(E7/Cover_Price-1,"-")</f>
        <v>-0.0125629841681254</v>
      </c>
      <c r="G7" s="61" t="s">
        <v>247</v>
      </c>
    </row>
    <row r="10" customFormat="false" ht="19.5" hidden="false" customHeight="true" outlineLevel="0" collapsed="false">
      <c r="A10" s="6" t="s">
        <v>248</v>
      </c>
      <c r="B10" s="6"/>
      <c r="C10" s="6"/>
      <c r="D10" s="6"/>
      <c r="E10" s="6"/>
      <c r="F10" s="6"/>
    </row>
    <row r="11" customFormat="false" ht="15" hidden="false" customHeight="false" outlineLevel="0" collapsed="false">
      <c r="B11" s="7" t="s">
        <v>249</v>
      </c>
      <c r="C11" s="69" t="n">
        <v>25</v>
      </c>
      <c r="G11" s="3" t="s">
        <v>250</v>
      </c>
    </row>
    <row r="12" customFormat="false" ht="15" hidden="false" customHeight="false" outlineLevel="0" collapsed="false">
      <c r="B12" s="7" t="s">
        <v>251</v>
      </c>
      <c r="C12" s="5" t="s">
        <v>252</v>
      </c>
      <c r="G12" s="3" t="s">
        <v>253</v>
      </c>
    </row>
    <row r="13" customFormat="false" ht="15" hidden="false" customHeight="false" outlineLevel="0" collapsed="false">
      <c r="B13" s="7" t="s">
        <v>254</v>
      </c>
      <c r="C13" s="8" t="n">
        <v>1141.65</v>
      </c>
      <c r="G13" s="3" t="s">
        <v>255</v>
      </c>
    </row>
    <row r="14" customFormat="false" ht="15" hidden="false" customHeight="false" outlineLevel="0" collapsed="false">
      <c r="B14" s="7" t="s">
        <v>256</v>
      </c>
      <c r="C14" s="13" t="n">
        <f aca="false">IFERROR(C13/Cover_Price-1,"-")</f>
        <v>0.104120929602801</v>
      </c>
      <c r="G14" s="3" t="s">
        <v>257</v>
      </c>
    </row>
    <row r="15" customFormat="false" ht="15" hidden="false" customHeight="false" outlineLevel="0" collapsed="false">
      <c r="B15" s="7" t="s">
        <v>258</v>
      </c>
      <c r="C15" s="70" t="n">
        <v>900</v>
      </c>
      <c r="G15" s="3" t="s">
        <v>241</v>
      </c>
    </row>
    <row r="16" customFormat="false" ht="15" hidden="false" customHeight="false" outlineLevel="0" collapsed="false">
      <c r="B16" s="7" t="s">
        <v>259</v>
      </c>
      <c r="C16" s="70" t="n">
        <v>1073</v>
      </c>
      <c r="G16" s="3" t="s">
        <v>260</v>
      </c>
    </row>
    <row r="18" customFormat="false" ht="61.5" hidden="false" customHeight="true" outlineLevel="0" collapsed="false">
      <c r="B18" s="16" t="s">
        <v>261</v>
      </c>
      <c r="C18" s="16"/>
      <c r="D18" s="16"/>
      <c r="E18" s="16"/>
      <c r="F18" s="16"/>
      <c r="G18" s="16"/>
    </row>
  </sheetData>
  <mergeCells count="3">
    <mergeCell ref="A2:F2"/>
    <mergeCell ref="A10:F10"/>
    <mergeCell ref="B18:G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18"/>
    <col collapsed="false" customWidth="true" hidden="false" outlineLevel="0" max="4" min="4" style="0" width="62"/>
    <col collapsed="false" customWidth="true" hidden="false" outlineLevel="0" max="5" min="5" style="0" width="3"/>
  </cols>
  <sheetData>
    <row r="2" customFormat="false" ht="19.5" hidden="false" customHeight="true" outlineLevel="0" collapsed="false">
      <c r="A2" s="6" t="s">
        <v>262</v>
      </c>
      <c r="B2" s="6"/>
      <c r="C2" s="6"/>
    </row>
    <row r="4" customFormat="false" ht="25.5" hidden="false" customHeight="true" outlineLevel="0" collapsed="false">
      <c r="B4" s="19" t="s">
        <v>263</v>
      </c>
      <c r="C4" s="19" t="s">
        <v>144</v>
      </c>
      <c r="D4" s="19" t="s">
        <v>264</v>
      </c>
    </row>
    <row r="5" customFormat="false" ht="15" hidden="false" customHeight="false" outlineLevel="0" collapsed="false">
      <c r="B5" s="20" t="s">
        <v>6</v>
      </c>
      <c r="C5" s="71" t="n">
        <f aca="false">Cover_Price</f>
        <v>1033.99</v>
      </c>
      <c r="D5" s="61" t="s">
        <v>7</v>
      </c>
    </row>
    <row r="6" customFormat="false" ht="15" hidden="false" customHeight="false" outlineLevel="0" collapsed="false">
      <c r="B6" s="20" t="s">
        <v>265</v>
      </c>
      <c r="C6" s="72" t="n">
        <v>1054.48</v>
      </c>
      <c r="D6" s="61" t="s">
        <v>266</v>
      </c>
    </row>
    <row r="7" customFormat="false" ht="15" hidden="false" customHeight="false" outlineLevel="0" collapsed="false">
      <c r="B7" s="20" t="s">
        <v>267</v>
      </c>
      <c r="C7" s="72" t="n">
        <v>1035.76</v>
      </c>
      <c r="D7" s="61" t="s">
        <v>268</v>
      </c>
    </row>
    <row r="8" customFormat="false" ht="15" hidden="false" customHeight="false" outlineLevel="0" collapsed="false">
      <c r="B8" s="20" t="s">
        <v>269</v>
      </c>
      <c r="C8" s="72" t="n">
        <v>930.29</v>
      </c>
      <c r="D8" s="61" t="s">
        <v>270</v>
      </c>
    </row>
    <row r="9" customFormat="false" ht="15" hidden="false" customHeight="false" outlineLevel="0" collapsed="false">
      <c r="B9" s="20" t="s">
        <v>271</v>
      </c>
      <c r="C9" s="73" t="n">
        <f aca="false">Cover_Price/C6-1</f>
        <v>-0.0194313784993552</v>
      </c>
      <c r="D9" s="61" t="s">
        <v>257</v>
      </c>
    </row>
    <row r="10" customFormat="false" ht="15" hidden="false" customHeight="false" outlineLevel="0" collapsed="false">
      <c r="B10" s="20" t="s">
        <v>272</v>
      </c>
      <c r="C10" s="73" t="n">
        <f aca="false">Cover_Price/C8-1</f>
        <v>0.111470616689419</v>
      </c>
      <c r="D10" s="61" t="s">
        <v>257</v>
      </c>
    </row>
    <row r="11" customFormat="false" ht="15" hidden="false" customHeight="false" outlineLevel="0" collapsed="false">
      <c r="B11" s="20" t="s">
        <v>273</v>
      </c>
      <c r="C11" s="74" t="n">
        <v>48</v>
      </c>
      <c r="D11" s="61" t="s">
        <v>274</v>
      </c>
    </row>
    <row r="12" customFormat="false" ht="15" hidden="false" customHeight="false" outlineLevel="0" collapsed="false">
      <c r="B12" s="20" t="s">
        <v>275</v>
      </c>
      <c r="C12" s="75" t="n">
        <v>-4.13</v>
      </c>
      <c r="D12" s="61" t="s">
        <v>268</v>
      </c>
    </row>
    <row r="13" customFormat="false" ht="15" hidden="false" customHeight="false" outlineLevel="0" collapsed="false">
      <c r="B13" s="20" t="s">
        <v>276</v>
      </c>
      <c r="C13" s="72" t="n">
        <v>1018.81</v>
      </c>
      <c r="D13" s="61" t="s">
        <v>277</v>
      </c>
    </row>
    <row r="14" customFormat="false" ht="15" hidden="false" customHeight="false" outlineLevel="0" collapsed="false">
      <c r="B14" s="20" t="s">
        <v>278</v>
      </c>
      <c r="C14" s="72" t="n">
        <v>1091.57</v>
      </c>
      <c r="D14" s="61" t="s">
        <v>277</v>
      </c>
    </row>
    <row r="15" customFormat="false" ht="15" hidden="false" customHeight="false" outlineLevel="0" collapsed="false">
      <c r="B15" s="20" t="s">
        <v>8</v>
      </c>
      <c r="C15" s="72" t="n">
        <v>1125</v>
      </c>
      <c r="D15" s="61" t="s">
        <v>279</v>
      </c>
    </row>
    <row r="16" customFormat="false" ht="15" hidden="false" customHeight="false" outlineLevel="0" collapsed="false">
      <c r="B16" s="20" t="s">
        <v>10</v>
      </c>
      <c r="C16" s="72" t="n">
        <v>691.3</v>
      </c>
      <c r="D16" s="61" t="s">
        <v>279</v>
      </c>
    </row>
    <row r="17" customFormat="false" ht="15" hidden="false" customHeight="false" outlineLevel="0" collapsed="false">
      <c r="B17" s="20" t="s">
        <v>280</v>
      </c>
      <c r="C17" s="76" t="n">
        <f aca="false">(Cover_Price-C16)/(C15-C16)</f>
        <v>0.790154484666821</v>
      </c>
      <c r="D17" s="61" t="s">
        <v>281</v>
      </c>
    </row>
    <row r="18" customFormat="false" ht="15" hidden="false" customHeight="false" outlineLevel="0" collapsed="false">
      <c r="B18" s="20" t="s">
        <v>282</v>
      </c>
      <c r="C18" s="77" t="n">
        <v>0.5522</v>
      </c>
      <c r="D18" s="61" t="s">
        <v>283</v>
      </c>
    </row>
    <row r="19" customFormat="false" ht="15" hidden="false" customHeight="false" outlineLevel="0" collapsed="false">
      <c r="B19" s="20" t="s">
        <v>284</v>
      </c>
      <c r="C19" s="68" t="s">
        <v>285</v>
      </c>
      <c r="D19" s="61" t="s">
        <v>286</v>
      </c>
    </row>
    <row r="20" customFormat="false" ht="15" hidden="false" customHeight="false" outlineLevel="0" collapsed="false">
      <c r="B20" s="20" t="s">
        <v>287</v>
      </c>
      <c r="C20" s="68" t="s">
        <v>285</v>
      </c>
      <c r="D20" s="61" t="s">
        <v>288</v>
      </c>
    </row>
    <row r="21" customFormat="false" ht="15" hidden="false" customHeight="false" outlineLevel="0" collapsed="false">
      <c r="B21" s="20" t="s">
        <v>289</v>
      </c>
      <c r="C21" s="68" t="s">
        <v>285</v>
      </c>
      <c r="D21" s="61" t="s">
        <v>290</v>
      </c>
    </row>
    <row r="22" customFormat="false" ht="15" hidden="false" customHeight="false" outlineLevel="0" collapsed="false">
      <c r="B22" s="20" t="s">
        <v>14</v>
      </c>
      <c r="C22" s="78" t="n">
        <v>289.53</v>
      </c>
      <c r="D22" s="61" t="s">
        <v>291</v>
      </c>
    </row>
    <row r="23" customFormat="false" ht="22.35" hidden="false" customHeight="false" outlineLevel="0" collapsed="false">
      <c r="B23" s="20" t="s">
        <v>292</v>
      </c>
      <c r="C23" s="68" t="s">
        <v>293</v>
      </c>
      <c r="D23" s="61" t="s">
        <v>294</v>
      </c>
    </row>
    <row r="24" customFormat="false" ht="15" hidden="false" customHeight="false" outlineLevel="0" collapsed="false">
      <c r="B24" s="20" t="s">
        <v>295</v>
      </c>
      <c r="C24" s="72" t="n">
        <v>975.61</v>
      </c>
      <c r="D24" s="61" t="s">
        <v>296</v>
      </c>
    </row>
    <row r="26" customFormat="false" ht="90" hidden="false" customHeight="true" outlineLevel="0" collapsed="false">
      <c r="B26" s="16" t="s">
        <v>297</v>
      </c>
      <c r="C26" s="16"/>
      <c r="D26" s="16"/>
    </row>
  </sheetData>
  <mergeCells count="2">
    <mergeCell ref="A2:C2"/>
    <mergeCell ref="B26:D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6"/>
    <col collapsed="false" customWidth="true" hidden="false" outlineLevel="0" max="3" min="3" style="0" width="52"/>
    <col collapsed="false" customWidth="true" hidden="false" outlineLevel="0" max="4" min="4" style="0" width="44"/>
    <col collapsed="false" customWidth="true" hidden="false" outlineLevel="0" max="5" min="5" style="0" width="3"/>
  </cols>
  <sheetData>
    <row r="2" customFormat="false" ht="19.5" hidden="false" customHeight="true" outlineLevel="0" collapsed="false">
      <c r="A2" s="6" t="s">
        <v>298</v>
      </c>
      <c r="B2" s="6"/>
      <c r="C2" s="6"/>
    </row>
    <row r="3" customFormat="false" ht="25.5" hidden="false" customHeight="true" outlineLevel="0" collapsed="false">
      <c r="B3" s="19" t="s">
        <v>230</v>
      </c>
      <c r="C3" s="19" t="s">
        <v>299</v>
      </c>
      <c r="D3" s="19" t="s">
        <v>300</v>
      </c>
    </row>
    <row r="4" customFormat="false" ht="57.75" hidden="false" customHeight="true" outlineLevel="0" collapsed="false">
      <c r="B4" s="67" t="s">
        <v>301</v>
      </c>
      <c r="C4" s="79" t="s">
        <v>302</v>
      </c>
      <c r="D4" s="79" t="s">
        <v>303</v>
      </c>
    </row>
    <row r="5" customFormat="false" ht="57.75" hidden="false" customHeight="true" outlineLevel="0" collapsed="false">
      <c r="B5" s="67" t="s">
        <v>304</v>
      </c>
      <c r="C5" s="79" t="s">
        <v>305</v>
      </c>
      <c r="D5" s="79" t="s">
        <v>306</v>
      </c>
    </row>
    <row r="6" customFormat="false" ht="57.75" hidden="false" customHeight="true" outlineLevel="0" collapsed="false">
      <c r="B6" s="67" t="s">
        <v>307</v>
      </c>
      <c r="C6" s="79" t="s">
        <v>308</v>
      </c>
      <c r="D6" s="79" t="s">
        <v>309</v>
      </c>
    </row>
    <row r="7" customFormat="false" ht="57.75" hidden="false" customHeight="true" outlineLevel="0" collapsed="false">
      <c r="B7" s="67" t="s">
        <v>235</v>
      </c>
      <c r="C7" s="79" t="s">
        <v>310</v>
      </c>
      <c r="D7" s="79" t="s">
        <v>311</v>
      </c>
    </row>
    <row r="8" customFormat="false" ht="57.75" hidden="false" customHeight="true" outlineLevel="0" collapsed="false">
      <c r="B8" s="67" t="s">
        <v>240</v>
      </c>
      <c r="C8" s="79" t="s">
        <v>312</v>
      </c>
      <c r="D8" s="79" t="s">
        <v>313</v>
      </c>
    </row>
    <row r="9" customFormat="false" ht="57.75" hidden="false" customHeight="true" outlineLevel="0" collapsed="false">
      <c r="B9" s="67" t="s">
        <v>314</v>
      </c>
      <c r="C9" s="79" t="s">
        <v>315</v>
      </c>
      <c r="D9" s="79" t="s">
        <v>316</v>
      </c>
    </row>
    <row r="10" customFormat="false" ht="57.75" hidden="false" customHeight="true" outlineLevel="0" collapsed="false">
      <c r="B10" s="67" t="s">
        <v>317</v>
      </c>
      <c r="C10" s="79" t="s">
        <v>318</v>
      </c>
      <c r="D10" s="79" t="s">
        <v>319</v>
      </c>
    </row>
    <row r="11" customFormat="false" ht="57.75" hidden="false" customHeight="true" outlineLevel="0" collapsed="false">
      <c r="B11" s="67" t="s">
        <v>320</v>
      </c>
      <c r="C11" s="79" t="s">
        <v>321</v>
      </c>
      <c r="D11" s="79" t="s">
        <v>322</v>
      </c>
    </row>
    <row r="13" customFormat="false" ht="19.5" hidden="false" customHeight="true" outlineLevel="0" collapsed="false">
      <c r="A13" s="6" t="s">
        <v>323</v>
      </c>
      <c r="B13" s="6"/>
      <c r="C13" s="6"/>
    </row>
    <row r="14" customFormat="false" ht="25.5" hidden="false" customHeight="true" outlineLevel="0" collapsed="false">
      <c r="B14" s="19" t="s">
        <v>324</v>
      </c>
      <c r="C14" s="19" t="s">
        <v>299</v>
      </c>
      <c r="D14" s="19" t="s">
        <v>325</v>
      </c>
    </row>
    <row r="15" customFormat="false" ht="57.75" hidden="false" customHeight="true" outlineLevel="0" collapsed="false">
      <c r="B15" s="67" t="s">
        <v>326</v>
      </c>
      <c r="C15" s="79" t="s">
        <v>327</v>
      </c>
      <c r="D15" s="79" t="s">
        <v>328</v>
      </c>
    </row>
    <row r="16" customFormat="false" ht="57.75" hidden="false" customHeight="true" outlineLevel="0" collapsed="false">
      <c r="B16" s="67" t="s">
        <v>329</v>
      </c>
      <c r="C16" s="79" t="s">
        <v>330</v>
      </c>
      <c r="D16" s="79" t="s">
        <v>331</v>
      </c>
    </row>
    <row r="17" customFormat="false" ht="57.75" hidden="false" customHeight="true" outlineLevel="0" collapsed="false">
      <c r="B17" s="67" t="s">
        <v>332</v>
      </c>
      <c r="C17" s="79" t="s">
        <v>333</v>
      </c>
      <c r="D17" s="79" t="s">
        <v>334</v>
      </c>
    </row>
    <row r="18" customFormat="false" ht="57.75" hidden="false" customHeight="true" outlineLevel="0" collapsed="false">
      <c r="B18" s="67" t="s">
        <v>335</v>
      </c>
      <c r="C18" s="79" t="s">
        <v>336</v>
      </c>
      <c r="D18" s="79" t="s">
        <v>337</v>
      </c>
    </row>
    <row r="19" customFormat="false" ht="57.75" hidden="false" customHeight="true" outlineLevel="0" collapsed="false">
      <c r="B19" s="67" t="s">
        <v>338</v>
      </c>
      <c r="C19" s="79" t="s">
        <v>339</v>
      </c>
      <c r="D19" s="79" t="s">
        <v>340</v>
      </c>
    </row>
    <row r="20" customFormat="false" ht="57.75" hidden="false" customHeight="true" outlineLevel="0" collapsed="false">
      <c r="B20" s="67" t="s">
        <v>338</v>
      </c>
      <c r="C20" s="79" t="s">
        <v>341</v>
      </c>
      <c r="D20" s="79" t="s">
        <v>342</v>
      </c>
    </row>
    <row r="21" customFormat="false" ht="57.75" hidden="false" customHeight="true" outlineLevel="0" collapsed="false">
      <c r="B21" s="67" t="s">
        <v>343</v>
      </c>
      <c r="C21" s="79" t="s">
        <v>344</v>
      </c>
      <c r="D21" s="79" t="s">
        <v>345</v>
      </c>
    </row>
  </sheetData>
  <mergeCells count="2">
    <mergeCell ref="A2:C2"/>
    <mergeCell ref="A13:C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08"/>
    <col collapsed="false" customWidth="true" hidden="false" outlineLevel="0" max="3" min="3" style="0" width="3"/>
  </cols>
  <sheetData>
    <row r="2" customFormat="false" ht="19.5" hidden="false" customHeight="true" outlineLevel="0" collapsed="false">
      <c r="A2" s="80" t="s">
        <v>346</v>
      </c>
    </row>
    <row r="4" customFormat="false" ht="19.5" hidden="false" customHeight="true" outlineLevel="0" collapsed="false">
      <c r="B4" s="48" t="s">
        <v>347</v>
      </c>
    </row>
    <row r="5" customFormat="false" ht="75" hidden="false" customHeight="true" outlineLevel="0" collapsed="false">
      <c r="B5" s="81" t="s">
        <v>348</v>
      </c>
    </row>
    <row r="6" customFormat="false" ht="7.5" hidden="false" customHeight="true" outlineLevel="0" collapsed="false">
      <c r="B6" s="81"/>
    </row>
    <row r="7" customFormat="false" ht="19.5" hidden="false" customHeight="true" outlineLevel="0" collapsed="false">
      <c r="B7" s="48" t="s">
        <v>349</v>
      </c>
    </row>
    <row r="8" customFormat="false" ht="30" hidden="false" customHeight="true" outlineLevel="0" collapsed="false">
      <c r="B8" s="81" t="s">
        <v>350</v>
      </c>
    </row>
    <row r="9" customFormat="false" ht="30" hidden="false" customHeight="true" outlineLevel="0" collapsed="false">
      <c r="B9" s="81" t="s">
        <v>351</v>
      </c>
    </row>
    <row r="10" customFormat="false" ht="15.75" hidden="false" customHeight="true" outlineLevel="0" collapsed="false">
      <c r="B10" s="81" t="s">
        <v>352</v>
      </c>
    </row>
    <row r="11" customFormat="false" ht="30" hidden="false" customHeight="true" outlineLevel="0" collapsed="false">
      <c r="B11" s="81" t="s">
        <v>353</v>
      </c>
    </row>
    <row r="12" customFormat="false" ht="15.75" hidden="false" customHeight="true" outlineLevel="0" collapsed="false">
      <c r="B12" s="81" t="s">
        <v>354</v>
      </c>
    </row>
    <row r="13" customFormat="false" ht="30" hidden="false" customHeight="true" outlineLevel="0" collapsed="false">
      <c r="B13" s="81" t="s">
        <v>355</v>
      </c>
    </row>
    <row r="14" customFormat="false" ht="7.5" hidden="false" customHeight="true" outlineLevel="0" collapsed="false">
      <c r="B14" s="81"/>
    </row>
    <row r="15" customFormat="false" ht="19.5" hidden="false" customHeight="true" outlineLevel="0" collapsed="false">
      <c r="B15" s="48" t="s">
        <v>356</v>
      </c>
    </row>
    <row r="16" customFormat="false" ht="15.75" hidden="false" customHeight="true" outlineLevel="0" collapsed="false">
      <c r="B16" s="81" t="s">
        <v>357</v>
      </c>
    </row>
    <row r="17" customFormat="false" ht="15.75" hidden="false" customHeight="true" outlineLevel="0" collapsed="false">
      <c r="B17" s="81" t="s">
        <v>358</v>
      </c>
    </row>
    <row r="18" customFormat="false" ht="30" hidden="false" customHeight="true" outlineLevel="0" collapsed="false">
      <c r="B18" s="81" t="s">
        <v>359</v>
      </c>
    </row>
    <row r="19" customFormat="false" ht="15.75" hidden="false" customHeight="true" outlineLevel="0" collapsed="false">
      <c r="B19" s="81" t="s">
        <v>360</v>
      </c>
    </row>
    <row r="20" customFormat="false" ht="15.75" hidden="false" customHeight="true" outlineLevel="0" collapsed="false">
      <c r="B20" s="81" t="s">
        <v>361</v>
      </c>
    </row>
    <row r="21" customFormat="false" ht="15.75" hidden="false" customHeight="true" outlineLevel="0" collapsed="false">
      <c r="B21" s="81" t="s">
        <v>362</v>
      </c>
    </row>
    <row r="22" customFormat="false" ht="30" hidden="false" customHeight="true" outlineLevel="0" collapsed="false">
      <c r="B22" s="81" t="s">
        <v>363</v>
      </c>
    </row>
    <row r="23" customFormat="false" ht="7.5" hidden="false" customHeight="true" outlineLevel="0" collapsed="false">
      <c r="B23" s="81"/>
    </row>
    <row r="24" customFormat="false" ht="19.5" hidden="false" customHeight="true" outlineLevel="0" collapsed="false">
      <c r="B24" s="48" t="s">
        <v>364</v>
      </c>
    </row>
    <row r="25" customFormat="false" ht="30" hidden="false" customHeight="true" outlineLevel="0" collapsed="false">
      <c r="B25" s="81" t="s">
        <v>365</v>
      </c>
    </row>
    <row r="26" customFormat="false" ht="15.75" hidden="false" customHeight="true" outlineLevel="0" collapsed="false">
      <c r="B26" s="81" t="s">
        <v>366</v>
      </c>
    </row>
    <row r="27" customFormat="false" ht="15.75" hidden="false" customHeight="true" outlineLevel="0" collapsed="false">
      <c r="B27" s="81" t="s">
        <v>367</v>
      </c>
    </row>
    <row r="28" customFormat="false" ht="15.75" hidden="false" customHeight="true" outlineLevel="0" collapsed="false">
      <c r="B28" s="81" t="s">
        <v>368</v>
      </c>
    </row>
    <row r="29" customFormat="false" ht="15.75" hidden="false" customHeight="true" outlineLevel="0" collapsed="false">
      <c r="B29" s="81" t="s">
        <v>369</v>
      </c>
    </row>
    <row r="30" customFormat="false" ht="15.75" hidden="false" customHeight="true" outlineLevel="0" collapsed="false">
      <c r="B30" s="81" t="s">
        <v>370</v>
      </c>
    </row>
    <row r="31" customFormat="false" ht="7.5" hidden="false" customHeight="true" outlineLevel="0" collapsed="false">
      <c r="B31" s="81"/>
    </row>
    <row r="32" customFormat="false" ht="19.5" hidden="false" customHeight="true" outlineLevel="0" collapsed="false">
      <c r="B32" s="48" t="s">
        <v>371</v>
      </c>
    </row>
    <row r="33" customFormat="false" ht="45" hidden="false" customHeight="true" outlineLevel="0" collapsed="false">
      <c r="B33" s="81" t="s">
        <v>372</v>
      </c>
    </row>
    <row r="34" customFormat="false" ht="75" hidden="false" customHeight="true" outlineLevel="0" collapsed="false">
      <c r="B34" s="81" t="s">
        <v>373</v>
      </c>
    </row>
    <row r="35" customFormat="false" ht="30" hidden="false" customHeight="true" outlineLevel="0" collapsed="false">
      <c r="B35" s="81" t="s">
        <v>374</v>
      </c>
    </row>
    <row r="36" customFormat="false" ht="60" hidden="false" customHeight="true" outlineLevel="0" collapsed="false">
      <c r="B36" s="81" t="s">
        <v>375</v>
      </c>
    </row>
    <row r="37" customFormat="false" ht="60" hidden="false" customHeight="true" outlineLevel="0" collapsed="false">
      <c r="B37" s="81" t="s">
        <v>376</v>
      </c>
    </row>
    <row r="38" customFormat="false" ht="45" hidden="false" customHeight="true" outlineLevel="0" collapsed="false">
      <c r="B38" s="81" t="s">
        <v>377</v>
      </c>
    </row>
    <row r="39" customFormat="false" ht="45" hidden="false" customHeight="true" outlineLevel="0" collapsed="false">
      <c r="B39" s="81" t="s">
        <v>378</v>
      </c>
    </row>
    <row r="40" customFormat="false" ht="45" hidden="false" customHeight="true" outlineLevel="0" collapsed="false">
      <c r="B40" s="81" t="s">
        <v>379</v>
      </c>
    </row>
    <row r="41" customFormat="false" ht="45" hidden="false" customHeight="true" outlineLevel="0" collapsed="false">
      <c r="B41" s="81" t="s">
        <v>380</v>
      </c>
    </row>
    <row r="42" customFormat="false" ht="30" hidden="false" customHeight="true" outlineLevel="0" collapsed="false">
      <c r="B42" s="81" t="s">
        <v>381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2026-08-29T22:57:50Z</dcterms:created>
  <dc:creator>openpyxl</dc:creator>
  <dc:description/>
  <dc:language>en-US</dc:language>
  <cp:lastModifiedBy/>
  <dcterms:modified xsi:type="dcterms:W3CDTF">2026-08-29T22:57:51Z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