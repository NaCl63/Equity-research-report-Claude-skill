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hesis &amp; Key Debates" sheetId="2" state="visible" r:id="rId4"/>
    <sheet name="Historical Financials" sheetId="3" state="visible" r:id="rId5"/>
    <sheet name="Assumptions" sheetId="4" state="visible" r:id="rId6"/>
    <sheet name="Rate &amp; Circulation Sensitivity" sheetId="5" state="visible" r:id="rId7"/>
    <sheet name="Income Statement" sheetId="6" state="visible" r:id="rId8"/>
    <sheet name="Balance Sheet" sheetId="7" state="visible" r:id="rId9"/>
    <sheet name="Cash Flow Statement" sheetId="8" state="visible" r:id="rId10"/>
    <sheet name="SBC &amp; Dilution Schedule" sheetId="9" state="visible" r:id="rId11"/>
    <sheet name="Valuation" sheetId="10" state="visible" r:id="rId12"/>
    <sheet name="Competitive &amp; Distrib Risks" sheetId="11" state="visible" r:id="rId13"/>
    <sheet name="Appendix - Technical Data" sheetId="12" state="visible" r:id="rId14"/>
    <sheet name="Catalysts &amp; Timeline" sheetId="13" state="visible" r:id="rId15"/>
    <sheet name="Sources &amp; Notes" sheetId="14" state="visible" r:id="rId16"/>
  </sheets>
  <definedNames>
    <definedName function="false" hidden="false" name="Cover_DilShares" vbProcedure="false">Cover!$C$12</definedName>
    <definedName function="false" hidden="false" name="Cover_MktCap" vbProcedure="false">Cover!$C$13</definedName>
    <definedName function="false" hidden="false" name="Cover_NetCash" vbProcedure="false">Cover!$C$16</definedName>
    <definedName function="false" hidden="false" name="Cover_Price" vbProcedure="false">Cover!$C$9</definedName>
    <definedName function="false" hidden="false" name="Cover_Shares" vbProcedure="false">Cover!$C$11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<sst xmlns="http://schemas.openxmlformats.org/spreadsheetml/2006/main" count="797" uniqueCount="556">
  <si>
    <t xml:space="preserve">CIRCLE INTERNET GROUP, INC.</t>
  </si>
  <si>
    <t xml:space="preserve">NYSE: CRCL  |  Equity Research Model v2 — Fundamental + Technical</t>
  </si>
  <si>
    <t xml:space="preserve">Prepared for informational/educational purposes — not investment advice</t>
  </si>
  <si>
    <t xml:space="preserve">Model date:</t>
  </si>
  <si>
    <t xml:space="preserve">2026-08-24</t>
  </si>
  <si>
    <t xml:space="preserve">Market data as of:</t>
  </si>
  <si>
    <t xml:space="preserve">Aug 21, 2026 close</t>
  </si>
  <si>
    <t xml:space="preserve">MARKET SNAPSHOT</t>
  </si>
  <si>
    <t xml:space="preserve">Last price (Aug 21, 2026 close)</t>
  </si>
  <si>
    <t xml:space="preserve">stockanalysis.com — up 5.2% that session</t>
  </si>
  <si>
    <t xml:space="preserve">52-week high / low</t>
  </si>
  <si>
    <t xml:space="preserve">$159.47 / $49.90</t>
  </si>
  <si>
    <t xml:space="preserve">stockanalysis.com</t>
  </si>
  <si>
    <t xml:space="preserve">Basic shares outstanding (mm)</t>
  </si>
  <si>
    <t xml:space="preserve">stockanalysis.com, Aug 21 2026</t>
  </si>
  <si>
    <t xml:space="preserve">Weighted-avg diluted shares, Q2'26 actual (mm)</t>
  </si>
  <si>
    <t xml:space="preserve">Circle Q2 2026 press release — includes dilutive RSUs/options</t>
  </si>
  <si>
    <t xml:space="preserve">Market capitalization ($mm)</t>
  </si>
  <si>
    <t xml:space="preserve">Formula: price x basic shares out</t>
  </si>
  <si>
    <t xml:space="preserve">Cash &amp; equivalents ($mm)</t>
  </si>
  <si>
    <t xml:space="preserve">Circle Q2 2026 press release, 6/30/26 balance sheet</t>
  </si>
  <si>
    <t xml:space="preserve">Total debt ($mm)</t>
  </si>
  <si>
    <t xml:space="preserve">Convertible notes ($36.8mm) retired by Q2'26 — no meaningful debt</t>
  </si>
  <si>
    <t xml:space="preserve">Net cash ($mm)</t>
  </si>
  <si>
    <t xml:space="preserve">Formula: cash - debt</t>
  </si>
  <si>
    <t xml:space="preserve">DASHBOARD — CURRENT PRICE VS. SCENARIO TARGETS</t>
  </si>
  <si>
    <t xml:space="preserve">Bear</t>
  </si>
  <si>
    <t xml:space="preserve">Base</t>
  </si>
  <si>
    <t xml:space="preserve">Bull</t>
  </si>
  <si>
    <t xml:space="preserve">Method 1 — exit multiple</t>
  </si>
  <si>
    <t xml:space="preserve">Method 2 — DCF</t>
  </si>
  <si>
    <t xml:space="preserve">Blended (avg of Method 1 &amp; 2)</t>
  </si>
  <si>
    <t xml:space="preserve">Current price</t>
  </si>
  <si>
    <t xml:space="preserve">  Upside / (downside) to blended</t>
  </si>
  <si>
    <t xml:space="preserve">Street consensus target (reference)</t>
  </si>
  <si>
    <t xml:space="preserve">Probability-weighted target (25/50/25 Bear/Base/Bull)</t>
  </si>
  <si>
    <t xml:space="preserve">What the market appears to be pricing: at the current price, the stock sits above this model's Bear and Base blended targets and close to the Bull-case Method 1 output — i.e. the market looks like it's underwriting something closer to the Bull scenario (circulation growth re-accelerating, RLDC margin holding or improving, and a market multiple in the low-to-mid teens) than this model's Base case. See the Valuation tab for the full walk.</t>
  </si>
  <si>
    <t xml:space="preserve">Key drivers (Base case, FY2026E):</t>
  </si>
  <si>
    <t xml:space="preserve">  USDC circulation, EOP ($bn)</t>
  </si>
  <si>
    <t xml:space="preserve">  Reserve yield</t>
  </si>
  <si>
    <t xml:space="preserve">  RLDC margin (co. defn.)</t>
  </si>
  <si>
    <t xml:space="preserve">  Adj. EBITDA ($mm)</t>
  </si>
  <si>
    <t xml:space="preserve">Biggest risks: Fed rate path (reserve yield), Open USD distribution-economics threat, USDC share loss to USDT/competitors, GENIUS Act implementation. Biggest catalysts: FOMC meetings (Sep 15-16, Oct 27-28, Dec 8-9), Q3'26 earnings, GENIUS Act NPRM comment close (Oct 19). See Thesis &amp; Key Debates and Catalysts &amp; Timeline tabs.</t>
  </si>
  <si>
    <t xml:space="preserve">What has to be true for Base case: circulation growth stabilizes around 18-20%/yr (below management's 40% long-run target but above a full Open-USD-driven collapse); RLDC margin holds near the low end of FY26 guidance (42.5%) even as competitive pressure mounts; no major renegotiation of the Coinbase distribution deal. What has to additionally be true for Bull: circulation growth re-accelerates toward management's stated 40% target; RLDC margin actually IMPROVES to 45-46% (Circle successfully defends/improves distribution economics against Open USD, not just holds them); Other Revenue (CPN/Arc/USYC) keeps compounding at ~45%/yr.</t>
  </si>
  <si>
    <t xml:space="preserve">Tabs: Cover | Thesis &amp; Key Debates | Historical Financials | Assumptions | Rate &amp; Circulation Sensitivity | Income Statement | Balance Sheet | Cash Flow Statement | SBC &amp; Dilution Schedule | Valuation | Competitive &amp; Distrib Risks | Appendix - Technical Data | Catalysts &amp; Timeline | Sources &amp; Notes</t>
  </si>
  <si>
    <t xml:space="preserve">Color key: Blue = hardcoded input. Black = formula. Yellow fill = editable scenario assumption. Bear/Base/Bull rows are colored red/blue/green throughout for quick scanning.</t>
  </si>
  <si>
    <t xml:space="preserve">DISCLAIMER: Built from public secondary and primary sources (Circle press releases, SEC-adjacent filings, FRED, financial media) as of the model date above, not a live market data terminal. Every hardcoded figure is sourced on the Sources &amp; Notes tab. Bear/Base/Bull scenario assumptions beyond the current guided fiscal year are this model's own illustrative construction, not sell-side consensus by case — see Assumptions tab. Nothing here is investment, legal, or tax advice.</t>
  </si>
  <si>
    <t xml:space="preserve">INVESTMENT THESIS (SUMMARY)</t>
  </si>
  <si>
    <t xml:space="preserve">Circle earns reserve income on the short-duration Treasuries and repo backing USDC in circulation, shares roughly 60% of that reserve income with Coinbase and other distribution partners, and keeps the rest as RLDC (reserve income less distribution costs) plus a small and growing 'other revenue' line (CPN, Arc, USYC). The stock is simultaneously a rates-sensitive earnings stream (reserve yield falls as the Fed cuts) and a stablecoin-adoption growth story (USDC circulation, management's stated 40% CAGR through-cycle target) — those two forces currently point in opposite directions for near-term reserve income, and the market is genuinely unsettled about which dominates (see analyst price-target dispersion on the Valuation tab: Morgan Stanley $37 vs. Canaccord $130).</t>
  </si>
  <si>
    <t xml:space="preserve">BULL CASE</t>
  </si>
  <si>
    <t xml:space="preserve">• USDC circulation keeps compounding as stablecoins get regulatory legitimacy (GENIUS Act) and institutional rails (Arc, CPN) — management's own long-run target is 40% CAGR, well above the ~19% most recently disclosed YoY growth, so there's real room for the growth story to reassert.</t>
  </si>
  <si>
    <t xml:space="preserve">• Other revenue (CPN, Arc, USYC, ARC token economics) is a small but fast-growing diversification away from pure rate-sensitivity — FY26 guidance for this line was raised meaningfully (to $310-330mm from $150-170mm) mid-year, and a $222mm ARC token sale closed in Q1'26.</t>
  </si>
  <si>
    <t xml:space="preserve">• RLDC margin guidance was raised (to 41.7-43.7% from 38-40%) alongside Q2'26 results — a signal management sees room to hold or improve distribution economics, not just defend them.</t>
  </si>
  <si>
    <t xml:space="preserve">• Net cash-rich, no meaningful debt — balance sheet risk is low, and any capital return or M&amp;A optionality is unencumbered.</t>
  </si>
  <si>
    <t xml:space="preserve">BEAR CASE</t>
  </si>
  <si>
    <t xml:space="preserve">• Reserve income is the overwhelming majority of revenue and is mechanically exposed to Fed rate cuts — every 100bp of cuts strips a large, roughly linear chunk of gross reserve income absent offsetting circulation growth (see Rate &amp; Circulation Sensitivity tab).</t>
  </si>
  <si>
    <t xml:space="preserve">• Open USD (Stripe/Coinbase/Visa/Mastercard/BlackRock-backed consortium, announced Jun 30 2026) is the most credible structural threat to USDC's economics since Circle's inception per CoinShares — its model redirects the majority of reserve income to distribution partners, which could force Circle into less favorable terms even if USDC itself doesn't lose material share.</t>
  </si>
  <si>
    <t xml:space="preserve">• USDC's stablecoin market share has fallen from a peak of roughly 35% to about 23% as of Aug 2026, while USDT holds roughly 59% — Circle is not the dominant player in its own category.</t>
  </si>
  <si>
    <t xml:space="preserve">• Revenue growth has decelerated sharply and consistently: +77% (Q4'25) -&gt; +20% (Q1'26) -&gt; +7% (Q2'26) YoY, even as circulation kept growing, because yield compression outpaced it.</t>
  </si>
  <si>
    <t xml:space="preserve">• No confirmed capital-return program (buyback/dividend) and continued net share dilution from stock-based comp (weighted-avg diluted shares rose from 267.9mm to 268.6mm quarter-over-quarter) work against per-share value creation even if the underlying business grows.</t>
  </si>
  <si>
    <t xml:space="preserve">KEY DEBATES TO WATCH</t>
  </si>
  <si>
    <t xml:space="preserve">• Fed path vs. circulation growth: does USDC circulation growth (bull case assumes acceleration toward management's 40% target; this model's base case assumes a more modest ~20%) outrun further reserve-yield compression, or does yield compression win?</t>
  </si>
  <si>
    <t xml:space="preserve">• Open USD: is it, per Coindesk's Aug 3 2026 reporting, mostly 'hedging' by nominal backers (Visa/Mastercard/Coinbase all still publicly supporting USDC too) with no committed volume shift yet — or an early signal of a structural distribution-economics renegotiation to come?</t>
  </si>
  <si>
    <t xml:space="preserve">• GENIUS Act implementation: the Treasury NPRM comment period runs through Oct 19 2026 — the final rule could tighten (compliance cost headwind) or formalize/entrench Circle's position (moat) depending on outcome.</t>
  </si>
  <si>
    <t xml:space="preserve">• Whether the market is pricing CRCL as a rate-sensitive financial (bear framing) or a stablecoin-infrastructure growth compounder (bull framing) — the &gt;3x spread in sell-side price targets suggests this is not yet a settled debate.</t>
  </si>
  <si>
    <t xml:space="preserve">CRCL — HISTORICAL FINANCIALS ($mm unless noted)</t>
  </si>
  <si>
    <t xml:space="preserve">Source: Circle press releases (Q4'25, Q1'26, Q2'26 earnings releases, primary source PDF for Q2'26); FY24/FY25 per FY2025 10-K / Q4'25 release. Reserve income shown is a derived residual (Total Rev - Other Rev) except where noted as the company's own disclosed figure.</t>
  </si>
  <si>
    <t xml:space="preserve">Line item</t>
  </si>
  <si>
    <t xml:space="preserve">FY2024A</t>
  </si>
  <si>
    <t xml:space="preserve">FY2025A</t>
  </si>
  <si>
    <t xml:space="preserve">Q4'25A</t>
  </si>
  <si>
    <t xml:space="preserve">Q1'26A</t>
  </si>
  <si>
    <t xml:space="preserve">Q2'26A</t>
  </si>
  <si>
    <t xml:space="preserve">Total revenue &amp; reserve income</t>
  </si>
  <si>
    <t xml:space="preserve">FY24 implied from FY25 +64% YoY disclosure</t>
  </si>
  <si>
    <t xml:space="preserve">  Other revenue</t>
  </si>
  <si>
    <t xml:space="preserve">Q2'26 = 701 - 667.7 reserve income (Circle's own reported figure, primary source)</t>
  </si>
  <si>
    <t xml:space="preserve">  Reserve income</t>
  </si>
  <si>
    <t xml:space="preserve">Q2'26 = Circle's own disclosed figure ($667.733mm); earlier periods derived as Total-Other</t>
  </si>
  <si>
    <t xml:space="preserve">Distribution, transaction &amp; other costs</t>
  </si>
  <si>
    <t xml:space="preserve">Q2'26 = Circle's own disclosed figure ($410.414mm)</t>
  </si>
  <si>
    <t xml:space="preserve">RLDC (company definition: Total Rev - Dist. Costs)</t>
  </si>
  <si>
    <t xml:space="preserve">Circle's own definition nets distribution costs against TOTAL revenue, not just reserve income — see reconciliation note below</t>
  </si>
  <si>
    <t xml:space="preserve">  RLDC margin (co. defn., % of Total Revenue)</t>
  </si>
  <si>
    <t xml:space="preserve">Circle's own reported/guided metric — Q2'26 actual 41%, FY26 guided 41.7-43.7%</t>
  </si>
  <si>
    <t xml:space="preserve">  Distribution cost ratio (% of reserve income, analytical)</t>
  </si>
  <si>
    <t xml:space="preserve">This model's own analytical driver for the Rate &amp; Circulation Sensitivity grid — differs from the company's RLDC margin definition above by construction</t>
  </si>
  <si>
    <t xml:space="preserve">Net income / (loss)</t>
  </si>
  <si>
    <t xml:space="preserve">FY25 net loss driven by ~$424mm one-time IPO-vesting stock comp charge</t>
  </si>
  <si>
    <t xml:space="preserve">Adjusted EBITDA</t>
  </si>
  <si>
    <t xml:space="preserve">  Adj. EBITDA margin (% of total revenue)</t>
  </si>
  <si>
    <t xml:space="preserve">Stock-based compensation</t>
  </si>
  <si>
    <t xml:space="preserve">Q2'26 actual, primary source; ~$61.2mm incl. related payroll taxes</t>
  </si>
  <si>
    <t xml:space="preserve">Weighted-avg diluted shares (mm)</t>
  </si>
  <si>
    <t xml:space="preserve">Primary source (Q2'26 press release) — higher than basic shares out (253.9mm) because it includes dilutive RSUs/options; see SBC &amp; Dilution Schedule tab for the forward walk</t>
  </si>
  <si>
    <t xml:space="preserve">USDC circulation, end of period ($bn)</t>
  </si>
  <si>
    <t xml:space="preserve">FY24 implied from FY25 +72% YoY disclosure; Q2'26 down sequentially from Q1'26</t>
  </si>
  <si>
    <t xml:space="preserve">  USDC circulation YoY growth (as disclosed)</t>
  </si>
  <si>
    <t xml:space="preserve">Total revenue YoY growth (as disclosed)</t>
  </si>
  <si>
    <t xml:space="preserve">Implied annualized reserve yield (reserve income x4 / EOP USDC)</t>
  </si>
  <si>
    <t xml:space="preserve">Approximation — uses EOP circulation as a proxy for average circulation (see limitation note below; Income Statement tab uses a 2-quarter average instead)</t>
  </si>
  <si>
    <t xml:space="preserve">RLDC MARGIN RECONCILIATION CHECK (satisfies the 'add basic checks' review item): Q2'26 actual — Circle's own RLDC margin (41%) = (Total Rev $701mm - Dist. Costs $410.4mm) / Total Rev $701mm = 41.4%, rounds to 41%. This model's analytical 'distribution cost ratio' (61.5%) is a DIFFERENT metric — distribution costs as a share of reserve income only ($410.4mm/$667.7mm) — used because it plugs directly into the Fed-rate x circulation sensitivity grid on the next tab. Both are correct for their own purpose; they are not interchangeable and this model uses both, labeled, rather than picking one.</t>
  </si>
  <si>
    <t xml:space="preserve">Read-through: revenue growth decelerated from +77% (Q4'25) to +20% (Q1'26) to +7% (Q2'26) YoY even as USDC circulation kept growing, because the reserve yield compressed as the Fed cut rates. Management responded by RAISING RLDC margin guidance (to 41.7-43.7% from 38-40%) and Other Revenue guidance (to $310-330mm from $150-170mm) alongside Q2'26 results — the company itself is signaling that non-reserve-income levers are doing more work. See Income Statement tab for the forward build.</t>
  </si>
  <si>
    <t xml:space="preserve">BALANCE SHEET &amp; CASH FLOW ANCHOR (Q2'26A ACTUAL — PRIMARY SOURCE: 10-Q FOR PERIOD ENDED JUNE 30, 2026, FILED AUG 5 2026)</t>
  </si>
  <si>
    <t xml:space="preserve">New in v3: real balance-sheet and cash-flow actuals, pulled via SEC EDGAR XBRL (data.sec.gov/api/xbrl/companyconcept) and the underlying 10-Q for line items not separately XBRL-tagged (e.g. the corporate-vs-reserve cash split). These anchor the Balance Sheet, Cash Flow Statement, and SBC &amp; Dilution Schedule tabs' FY2026E opening balances. Circle's balance sheet is dominated by a dollar-for-dollar USDC reserve/circulation pass-through (~$74bn of the ~$77bn in total assets) that has no bearing on equity value — this model separates that pass-through from the much smaller 'corporate' balance sheet that actually drives per-share value, rather than letting the pass-through swamp the analysis.</t>
  </si>
  <si>
    <t xml:space="preserve">Q2'26A ($mm)</t>
  </si>
  <si>
    <t xml:space="preserve">Source / derivation</t>
  </si>
  <si>
    <t xml:space="preserve">Corporate cash &amp; equivalents (non-reserve)</t>
  </si>
  <si>
    <t xml:space="preserve">10-Q balance sheet, 6/30/26 — excludes reserve/segregated stablecoin cash</t>
  </si>
  <si>
    <t xml:space="preserve">Other corporate assets, net (PP&amp;E + other — reconciling combination)</t>
  </si>
  <si>
    <t xml:space="preserve">Derived: Total assets - modeled reserve assets - corporate cash (reconciling-plug convention). Includes the real 10-Q's $889.311mm 'segregated stablecoin cash' bucket plus a ~$122.9mm reserve-over-deposits buffer — both folded in here, NOT into the pass-through reserve line below, so that line can be modeled as backing circulation exactly 1:1 (see note there) without breaking the balance check. Granular PP&amp;E/other itemization not separately sourced.</t>
  </si>
  <si>
    <t xml:space="preserve">USDC reserve assets (pass-through, modeled as backing circulation 1:1)</t>
  </si>
  <si>
    <t xml:space="preserve">Set equal to the circulation liability below (10-Q's actual reserve assets were $74,050.483mm incl. segregated stablecoin cash — the ~$1,122.9mm difference is folded into 'other corporate assets' above) so the forward model's reserve-assets and circulation-liability lines move in lockstep and the balance check ties out by construction, not by coincidence</t>
  </si>
  <si>
    <t xml:space="preserve">TOTAL ASSETS</t>
  </si>
  <si>
    <t xml:space="preserve">10-Q reported: $77,165.460mm — formula cross-check should match exactly</t>
  </si>
  <si>
    <t xml:space="preserve">Other corporate liabilities (accrued exp., deferred rev., etc.)</t>
  </si>
  <si>
    <t xml:space="preserve">Derived: Total liabilities - stablecoin deposits (reconciling-plug convention)</t>
  </si>
  <si>
    <t xml:space="preserve">Total debt / borrowings</t>
  </si>
  <si>
    <t xml:space="preserve">10-Q: none outstanding — convertible notes fully converted during H1'26</t>
  </si>
  <si>
    <t xml:space="preserve">USDC in circulation / stablecoin deposits (pass-through liability)</t>
  </si>
  <si>
    <t xml:space="preserve">10-Q: 'deposits from stablecoin holders' — backs the reserve assets ~1:1</t>
  </si>
  <si>
    <t xml:space="preserve">TOTAL LIABILITIES</t>
  </si>
  <si>
    <t xml:space="preserve">10-Q reported: $73,655.485mm — formula cross-check should match exactly</t>
  </si>
  <si>
    <t xml:space="preserve">TOTAL STOCKHOLDERS' EQUITY</t>
  </si>
  <si>
    <t xml:space="preserve">10-Q reported — also = Total assets - Total liabilities exactly (no plug needed)</t>
  </si>
  <si>
    <t xml:space="preserve">H1'26 (6mo) depreciation &amp; amortization</t>
  </si>
  <si>
    <t xml:space="preserve">H1'26 (6mo) stock-based compensation</t>
  </si>
  <si>
    <t xml:space="preserve">H1'26 (6mo) net cash from operating activities</t>
  </si>
  <si>
    <t xml:space="preserve">H1'26 (6mo) capex (purchase of long-lived assets)</t>
  </si>
  <si>
    <t xml:space="preserve">Real capex only — excludes ~$47mm of H1'26 investing outflows tied to the reserve/securities portfolio, which is pass-through and excluded from this model's corporate cash-flow build</t>
  </si>
  <si>
    <t xml:space="preserve">Cross-checks used to derive H1'26 revenue for the SBC-and-D&amp;A-as-%-of-revenue ratios used on the Assumptions tab: H1'26 revenue = Q1'26 $694mm + Q2'26 $701mm = $1,395mm. SBC/revenue = $105.4mm/$1,395mm = 7.6%; D&amp;A/revenue = $56.7mm/$1,395mm = 4.1%; capex/revenue = $10.4mm/$1,395mm = 0.7%. FY2025A SBC/revenue (20.9%) is NOT used as the forward anchor — it's inflated by a one-time ~$424mm IPO-vesting charge (see Net income note above) that is not representative of a steady-state run-rate.</t>
  </si>
  <si>
    <t xml:space="preserve">SCENARIO ASSUMPTIONS — CHANGE ANY YELLOW CELL TO RE-RUN THE MODEL</t>
  </si>
  <si>
    <t xml:space="preserve">Near-term (FY2026E) values are anchored to Circle's own guidance where available (Other Revenue $310-330mm, RLDC margin 41.7-43.7%, Adj. Opex $570-585mm). Bear/Base/Bull divergence beyond that is this model's own illustrative construction — no third-party sell-side estimates were found broken out by scenario for circulation growth or RLDC margin specifically. Treat the case spread as a framework for stress-testing your own view, not a consensus range.</t>
  </si>
  <si>
    <t xml:space="preserve">Driver / Case</t>
  </si>
  <si>
    <t xml:space="preserve">FY2026E</t>
  </si>
  <si>
    <t xml:space="preserve">FY2027E</t>
  </si>
  <si>
    <t xml:space="preserve">FY2028E</t>
  </si>
  <si>
    <t xml:space="preserve">USDC avg circulation YoY growth (vs. prior year)</t>
  </si>
  <si>
    <t xml:space="preserve">    Bear</t>
  </si>
  <si>
    <t xml:space="preserve">    Base</t>
  </si>
  <si>
    <t xml:space="preserve">    Bull</t>
  </si>
  <si>
    <t xml:space="preserve">Reserve yield (annualized)</t>
  </si>
  <si>
    <t xml:space="preserve">RLDC margin (co. definition, % of Total Revenue)</t>
  </si>
  <si>
    <t xml:space="preserve">v3: Other Revenue is now split into Arc (Circle's L1 chain — presale/milestone revenue recognition per Q2'26 commentary) and Other Products (CPN + USYC + custody/tokenization + misc), instead of one lump line, so 'what has to grow' is answerable. FY26E figures ($180mm Arc / $140mm Other Products = $320mm) are anchored to Q2'26 earnings-call color: Arc's FY26 revenue-recognition guidance of ~$180mm (upon product milestones, ~75% of 2026 milestones) and the remaining $130-150mm FY26 guide attributed to other products. FY27E-FY28E splits are this model's own construction, calibrated so each case's TOTAL still sums to the same Bear/Base/Bull totals used in v2.1 ($352/$400/$464mm FY27E, $387/$500/$673mm FY28E) — the split changes what you can say about the number, not the number itself.</t>
  </si>
  <si>
    <t xml:space="preserve">Arc revenue ($mm, FY26E fixed at guidance; growth thereafter)</t>
  </si>
  <si>
    <t xml:space="preserve">Other products revenue ($mm — CPN + USYC + custody/tokenization; FY26E at guidance)</t>
  </si>
  <si>
    <t xml:space="preserve">    Implied FY26E-FY28E Arc revenue CAGR</t>
  </si>
  <si>
    <t xml:space="preserve">    Implied FY26E-FY28E Other Products revenue CAGR</t>
  </si>
  <si>
    <t xml:space="preserve">Arc is this model's biggest Bear/Bull swing factor (Bear ~7% CAGR vs. Bull ~55% CAGR) because it's presale/milestone-based, not a running rate yet — mainnet launches Sept 16, 2026 with BlackRock and DTCC named as participants per the Q2'26 call, so the Bull case requires that launch to translate into sustained third-party issuance/RWA volume, not just a one-time presale credit. Other Products is better-grounded in an actual trend: CPN's trailing-30-day annualized TPV grew 130% in the ~6 weeks after Q2'26 earnings (to ~$23bn as of Jul 31, 2026) and USYC AUM grew 10x YoY to &gt;$3bn — real momentum, though TPV/AUM are volume metrics, not disclosed revenue, so the $mm figures above are still this model's own translation of that volume growth into a revenue estimate, not a disclosed number.</t>
  </si>
  <si>
    <t xml:space="preserve">Adjusted operating expenses ($mm)</t>
  </si>
  <si>
    <t xml:space="preserve">Diluted share count growth (net dilution, YoY)</t>
  </si>
  <si>
    <t xml:space="preserve">Stock-based compensation (% of Total Revenue)</t>
  </si>
  <si>
    <t xml:space="preserve">    H1'26A actual: SBC/revenue = 7.6% ($105.4mm / $1,395mm) — see Historical Financials BS/CF anchor. Base case anchors near this actual, then declines modestly as revenue outgrows a roughly fixed equity-comp pool (operating leverage); Bear holds flat since a weaker revenue denominator keeps the ratio elevated.</t>
  </si>
  <si>
    <t xml:space="preserve">D&amp;A (% of Total Revenue)</t>
  </si>
  <si>
    <t xml:space="preserve">    H1'26A actual: D&amp;A/revenue = 4.1% ($56.7mm / $1,395mm) — Bull case rises further as Arc mainnet infrastructure amortizes through; no FY26-28 D&amp;A guidance has been disclosed, so all three paths beyond the H1'26A anchor are this model's own construction.</t>
  </si>
  <si>
    <t xml:space="preserve">Capex (% of Total Revenue)</t>
  </si>
  <si>
    <t xml:space="preserve">    H1'26A actual: capex/revenue = 0.7% ($10.4mm / $1,395mm) — Base/Bull assumptions sit slightly above the actual on the expectation that Arc/CPN infrastructure scaling requires somewhat more capex intensity than the H1'26 run-rate implied.</t>
  </si>
  <si>
    <t xml:space="preserve">SHARED (NON-SCENARIO) ASSUMPTIONS</t>
  </si>
  <si>
    <t xml:space="preserve">Illustrative effective cash tax rate</t>
  </si>
  <si>
    <t xml:space="preserve">Statutory-rate proxy — Circle's actual cash taxes may be lower given NOLs; not confirmed</t>
  </si>
  <si>
    <t xml:space="preserve">Corporate cash short-term yield (illustrative — for interest income)</t>
  </si>
  <si>
    <t xml:space="preserve">Illustrative — corporate (non-reserve) cash earns roughly the same short-duration T-bill/repo market as reserve assets, so held at the Base-case reserve yield level and NOT varied by scenario, to keep the interest-income line from silently doing case-differentiation work that belongs to the reserve-yield assumption above</t>
  </si>
  <si>
    <t xml:space="preserve">DCF discount rate (WACC, illustrative)</t>
  </si>
  <si>
    <t xml:space="preserve">Illustrative — held constant across cases to isolate the operating-scenario effect; a fuller build would also vary discount rate by case</t>
  </si>
  <si>
    <t xml:space="preserve">DCF terminal growth rate</t>
  </si>
  <si>
    <t xml:space="preserve">Exit EV/Adj. EBITDA multiple</t>
  </si>
  <si>
    <t xml:space="preserve">Recalibrated (v2.1) to sit close to what the Base-case DCF's own WACC (12%) and terminal growth (3%) imply as a 'fair' terminal multiple (~8-9x) — v2's original 14x Base multiple created artificial tension between the two valuation methods ($53 vs. $32) that wasn't really capturing two different views, just two internally-inconsistent multiple assumptions. Bear/Bull still carry a real spread (7.5x-14x) reflecting genuinely different growth/quality profiles, not just noise. Cross-check vs. comparable growth-fintech EV/EBITDA ranges — CRCL's own EV/EBITDA is not shown on the comps table because TTM Adj. EBITDA by comp was not sourced this pass.</t>
  </si>
  <si>
    <t xml:space="preserve">Starting point: FY2025A EOP USDC circulation ($bn) — anchor for FY26E EOP growth</t>
  </si>
  <si>
    <t xml:space="preserve">FY2025A actual, matching how Circle itself discloses circulation growth (EOP YoY %). Deliberately NOT anchored to the more-recent Q1'26 (77.0bn)/Q2'26 (73.3bn) EOP levels — using an already-elapsed H1'26 figure as the base for a FULL additional year of case-growth would double-count growth that already happened (an early version of this model made exactly that mistake; caught during verification — see Sources tab changelog). The Income Statement tab's 'avg circulation' row (average of beginning/ending EOP balance) is what actually feeds reserve income.</t>
  </si>
  <si>
    <t xml:space="preserve">Starting point: Q2'26 weighted-avg diluted shares (mm) — base for share walk-forward</t>
  </si>
  <si>
    <t xml:space="preserve">RESERVE INCOME MODEL &amp; FED RATE SENSITIVITY</t>
  </si>
  <si>
    <t xml:space="preserve">Circle's revenue is ~95%+ reserve/interest income on USDC-backing Treasuries and repo — this is the single most important driver in the model. Base-case inputs below are pulled from the Assumptions tab (FY26E column) so this grid and the Income Statement tab always agree.</t>
  </si>
  <si>
    <t xml:space="preserve">Base USDC avg circulation ($bn)</t>
  </si>
  <si>
    <t xml:space="preserve">Base annualized reserve yield (Base case, FY26E)</t>
  </si>
  <si>
    <t xml:space="preserve">Distribution cost ratio (% of reserve income, Q2'26 actual)</t>
  </si>
  <si>
    <t xml:space="preserve">Other revenue ($mm, Base case FY26E = Arc + Other Products)</t>
  </si>
  <si>
    <t xml:space="preserve">Adjusted operating expenses ($mm, Base case FY26E)</t>
  </si>
  <si>
    <t xml:space="preserve">GRID 1 — ANNUALIZED RESERVE INCOME ($mm)</t>
  </si>
  <si>
    <t xml:space="preserve">Fed funds change (bps) ↓  /  USDC circulation YoY growth →</t>
  </si>
  <si>
    <t xml:space="preserve">-100 bps</t>
  </si>
  <si>
    <t xml:space="preserve">-75 bps</t>
  </si>
  <si>
    <t xml:space="preserve">-50 bps</t>
  </si>
  <si>
    <t xml:space="preserve">-25 bps</t>
  </si>
  <si>
    <t xml:space="preserve">+0 bps</t>
  </si>
  <si>
    <t xml:space="preserve">+25 bps</t>
  </si>
  <si>
    <t xml:space="preserve">GRID 2 — IMPLIED ADJ. EBITDA ($mm), ANALYTICAL DIST. RATIO METHOD</t>
  </si>
  <si>
    <t xml:space="preserve">Cross-check: independent analyst estimates (Dragonfly's Omar Kanji, circulated Aug 2026) pegged a 100bp Fed cut at ~$618mm of gross reserve-income impact (~23% of then-current revenue) absent offsetting USDC growth. The 0%-growth / -100bps cell in Grid 1 above is this model's independently-derived analogue — compare the two. Grid 2 uses the analytical distribution-ratio method (see Historical Financials tab reconciliation note); the Income Statement tab uses Circle's own RLDC-margin convention instead, which will produce slightly different EBITDA figures by construction — both are shown, labeled, rather than picking one.</t>
  </si>
  <si>
    <t xml:space="preserve">Model limitation: assumes roughly 1:1 pass-through of Fed rate changes to reserve yield and a constant distribution-cost ratio within this grid — in reality both the yield curve (reserves are short-duration T-bills/repo, not fed-funds-linked overnight instruments) and the Coinbase distribution formula (tiered by where USDC balances sit) are more complex. Cross-check: the effective fed funds rate was 3.63% as of Aug 20, 2026 (FRED) vs. this model's Base-case FY26E reserve yield assumption of 3.5% — close, consistent with near-1:1 pass-through, though not exact.</t>
  </si>
  <si>
    <t xml:space="preserve">INCOME STATEMENT — FY2026E-FY2028E, BY SCENARIO</t>
  </si>
  <si>
    <t xml:space="preserve">v3: a real income statement (Revenue -&gt; Distribution costs -&gt; RLDC -&gt; Opex -&gt; D&amp;A -&gt; EBIT -&gt; Interest -&gt; EBT -&gt; Taxes -&gt; Net Income), replacing v2.1's jump straight from EBITDA to an 'illustrative FCF proxy.' Revenue is now built explicitly (circulation bridge + Arc + Other Products, instead of one lump Other Revenue line) and D&amp;A/SBC are real expense lines pulled from the SBC &amp; Dilution Schedule tab, not omitted. See that tab and the Balance Sheet / Cash Flow Statement tabs for the rest of the 3-statement build.</t>
  </si>
  <si>
    <t xml:space="preserve">  USDC avg circulation ($bn, avg of beg./end. EOP)</t>
  </si>
  <si>
    <t xml:space="preserve">Reserve income ($mm)</t>
  </si>
  <si>
    <t xml:space="preserve">  Arc revenue ($mm)</t>
  </si>
  <si>
    <t xml:space="preserve">  Other Products revenue ($mm — CPN/USYC/custody)</t>
  </si>
  <si>
    <t xml:space="preserve">Total Other Revenue ($mm)</t>
  </si>
  <si>
    <t xml:space="preserve">TOTAL REVENUE ($mm)</t>
  </si>
  <si>
    <t xml:space="preserve">RLDC margin (co. defn., % of Total Revenue)</t>
  </si>
  <si>
    <t xml:space="preserve">RLDC ($mm)</t>
  </si>
  <si>
    <t xml:space="preserve">  Distribution costs ($mm, implied)</t>
  </si>
  <si>
    <t xml:space="preserve">ADJUSTED EBITDA ($mm)</t>
  </si>
  <si>
    <t xml:space="preserve">  Adj. EBITDA margin (% of Total Revenue)</t>
  </si>
  <si>
    <t xml:space="preserve">Less: Depreciation &amp; amortization ($mm)</t>
  </si>
  <si>
    <t xml:space="preserve">Less: Stock-based compensation ($mm)</t>
  </si>
  <si>
    <t xml:space="preserve">EBIT ($mm)</t>
  </si>
  <si>
    <t xml:space="preserve">Plus: Net interest income ($mm)</t>
  </si>
  <si>
    <t xml:space="preserve">Computed off the Q2'26A anchor corporate cash balance, held flat across all 3 forecast years — avoids a circular reference to the Balance Sheet's cash roll-forward; see tab-level note above.</t>
  </si>
  <si>
    <t xml:space="preserve">EBT ($mm)</t>
  </si>
  <si>
    <t xml:space="preserve">Less: Income tax expense ($mm)</t>
  </si>
  <si>
    <t xml:space="preserve">NET INCOME ($mm)</t>
  </si>
  <si>
    <t xml:space="preserve">  Net income margin (% of Total Revenue)</t>
  </si>
  <si>
    <t xml:space="preserve">Diluted shares outstanding (mm)</t>
  </si>
  <si>
    <t xml:space="preserve">  Diluted EPS ($)</t>
  </si>
  <si>
    <t xml:space="preserve">  Adj. EBITDA per diluted share ($)</t>
  </si>
  <si>
    <t xml:space="preserve">BASE CASE</t>
  </si>
  <si>
    <t xml:space="preserve">Bridge vs. FY2026E starting point: FY26E Base-case Total Revenue implies roughly $2.9-3.0bn (vs. FY25A actual $2.70bn and the $3.72bn Street consensus figure referenced on the Valuation tab) — this model's Base case is deliberately more conservative than Street on circulation growth (20% vs. management's 40% long-run target) while using the company's own guided RLDC margin and opex ranges; the gap to Street is concentrated in the growth assumption, not the margin structure. Compare the three cases directly to see which lever — growth, yield, or margin — moves the outcome most.</t>
  </si>
  <si>
    <t xml:space="preserve">BALANCE SHEET — FY2026E-FY2028E, BY SCENARIO</t>
  </si>
  <si>
    <t xml:space="preserve">v3: corporate balance sheet (cash, other assets, other liabilities, equity) rolled forward and tied to a real Q2'26A anchor (see Historical Financials). USDC reserve assets and the offsetting USDC-in-circulation liability are shown for completeness (they're what Circle actually reports) but are a dollar-for-dollar pass-through with no bearing on equity value — don't read anything into their scale relative to the much smaller corporate items that actually drive per-share value. BALANCE CHECK row must read exactly 0 for every case/year — verified separately from recalc.py, which only proves formulas evaluate, not that the statements tie out.</t>
  </si>
  <si>
    <t xml:space="preserve">Cash &amp; equivalents, corporate ($mm)</t>
  </si>
  <si>
    <t xml:space="preserve">Other corporate assets, net ($mm, PP&amp;E + other — reconciling combination)</t>
  </si>
  <si>
    <t xml:space="preserve">Total corporate assets ($mm)</t>
  </si>
  <si>
    <t xml:space="preserve">USDC reserve assets (pass-through, $mm)</t>
  </si>
  <si>
    <t xml:space="preserve">TOTAL ASSETS ($mm)</t>
  </si>
  <si>
    <t xml:space="preserve">Other corporate liabilities ($mm, accrued exp., deferred rev., etc.)</t>
  </si>
  <si>
    <t xml:space="preserve">Held flat at the Q2'26A anchor — a fuller build would itemize and grow this with revenue/headcount</t>
  </si>
  <si>
    <t xml:space="preserve">Total corporate liabilities ($mm, no debt outstanding)</t>
  </si>
  <si>
    <t xml:space="preserve">USDC in circulation / stablecoin deposits (pass-through, $mm)</t>
  </si>
  <si>
    <t xml:space="preserve">TOTAL LIABILITIES ($mm)</t>
  </si>
  <si>
    <t xml:space="preserve">TOTAL STOCKHOLDERS' EQUITY ($mm)</t>
  </si>
  <si>
    <t xml:space="preserve">BALANCE CHECK (Assets - Liabilities - Equity, should = 0)</t>
  </si>
  <si>
    <t xml:space="preserve">USDC reserve assets are set equal to circulation x $1,000mm/bn (i.e. assumed to back circulation exactly 1:1) and the circulation liability is set equal to the reserve assets line by construction — this is what makes the pass-through a pass-through: it cannot, by design, ever break the balance check above, so its presence does not validate anything about the CORPORATE side of the balance sheet, which is where the real modeling risk sits.</t>
  </si>
  <si>
    <t xml:space="preserve">CASH FLOW STATEMENT — FY2026E-FY2028E, BY SCENARIO</t>
  </si>
  <si>
    <t xml:space="preserve">v3: a real cash flow statement, replacing the EBITDA-based 'FCF proxy.' Unlevered FCF (used in the Valuation tab's DCF) = Cash flow from operations - Capex; with no debt outstanding, unlevered and levered FCF are the same here, so no further adjustment is needed. Financing activities are assumed at $0 (no debt issuance, buybacks, or cash-financed equity activity) — a simplification, not a disclosed fact.</t>
  </si>
  <si>
    <t xml:space="preserve">Net income ($mm)</t>
  </si>
  <si>
    <t xml:space="preserve">+ Depreciation &amp; amortization ($mm)</t>
  </si>
  <si>
    <t xml:space="preserve">+ Stock-based compensation ($mm)</t>
  </si>
  <si>
    <t xml:space="preserve">CASH FLOW FROM OPERATIONS ($mm)</t>
  </si>
  <si>
    <t xml:space="preserve">Capex ($mm)</t>
  </si>
  <si>
    <t xml:space="preserve">CASH FLOW FROM INVESTING ($mm, = -Capex)</t>
  </si>
  <si>
    <t xml:space="preserve">CASH FLOW FROM FINANCING ($mm)</t>
  </si>
  <si>
    <t xml:space="preserve">No debt issuance, buybacks, or cash-financed equity activity assumed</t>
  </si>
  <si>
    <t xml:space="preserve">NET CHANGE IN CASH ($mm)</t>
  </si>
  <si>
    <t xml:space="preserve">Beginning cash ($mm)</t>
  </si>
  <si>
    <t xml:space="preserve">Ending cash ($mm)</t>
  </si>
  <si>
    <t xml:space="preserve">UNLEVERED FREE CASH FLOW ($mm, = CFO - Capex)</t>
  </si>
  <si>
    <t xml:space="preserve">SBC &amp; DILUTION SCHEDULE — FY2026E-FY2028E, BY SCENARIO</t>
  </si>
  <si>
    <t xml:space="preserve">v3: connects SBC expense to the Income Statement (as a real P&amp;L deduction from EBITDA to EBIT), the Cash Flow Statement (as a non-cash add-back), and the diluted share count used everywhere else in the model — instead of a standalone dilution %% detached from the dollar economics. Basic shares and the RSU/option overhang are grown using the SAME case-specific %% dilution rate (preserving a constant overhang-to-basic ratio) rather than a fully itemized grant/vest/forfeit waterfall, since Circle does not disclose enough proxy-level detail to build that waterfall with real numbers — a labeled simplification, not fabricated precision. No repurchases are assumed (none announced).</t>
  </si>
  <si>
    <t xml:space="preserve">Basic shares outstanding, beginning of year (mm)</t>
  </si>
  <si>
    <t xml:space="preserve">Diluted shares outstanding, beginning of year (mm)</t>
  </si>
  <si>
    <t xml:space="preserve">SBC expense ($mm, = Total Revenue x SBC%)</t>
  </si>
  <si>
    <t xml:space="preserve">Diluted shares outstanding, end of year (mm)</t>
  </si>
  <si>
    <t xml:space="preserve">Basic shares outstanding, end of year (mm)</t>
  </si>
  <si>
    <t xml:space="preserve">  Implied RSU/option overhang, end of year (mm)</t>
  </si>
  <si>
    <t xml:space="preserve">  Share repurchases (mm)</t>
  </si>
  <si>
    <t xml:space="preserve">None announced/assumed</t>
  </si>
  <si>
    <t xml:space="preserve">COMPARABLE COMPANY MULTIPLES</t>
  </si>
  <si>
    <t xml:space="preserve">Company</t>
  </si>
  <si>
    <t xml:space="preserve">Price</t>
  </si>
  <si>
    <t xml:space="preserve">Mkt Cap ($bn)</t>
  </si>
  <si>
    <t xml:space="preserve">EV ($bn)</t>
  </si>
  <si>
    <t xml:space="preserve">TTM Rev ($bn)</t>
  </si>
  <si>
    <t xml:space="preserve">EV/Rev (TTM)</t>
  </si>
  <si>
    <t xml:space="preserve">Fwd P/E</t>
  </si>
  <si>
    <t xml:space="preserve">Circle Internet Group (CRCL)</t>
  </si>
  <si>
    <t xml:space="preserve">Coinbase Global (COIN)</t>
  </si>
  <si>
    <t xml:space="preserve">PayPal Holdings (PYPL)</t>
  </si>
  <si>
    <t xml:space="preserve">Visa Inc. (V) — reference only</t>
  </si>
  <si>
    <t xml:space="preserve">n/a</t>
  </si>
  <si>
    <t xml:space="preserve">Mastercard (MA) — reference only</t>
  </si>
  <si>
    <t xml:space="preserve">Note: EV/Revenue is not a standard metric for float/custody-income bank holding companies — omitted from this grid. Visa/Mastercard shown for reference only (network/toll-booth economics, not a reserve-income model — not true comps for a multiple to apply to CRCL). EV/EBITDA is not shown for comps because TTM Adj. EBITDA by comp was not sourced this pass; the exit-multiple assumptions on the Assumptions tab are calibrated qualitatively against typical growth-fintech EV/EBITDA ranges instead — a gap worth closing in a future pass.</t>
  </si>
  <si>
    <t xml:space="preserve">SELL-SIDE COVERAGE SNAPSHOT (Jul-Aug 2026)</t>
  </si>
  <si>
    <t xml:space="preserve">Date (2026)</t>
  </si>
  <si>
    <t xml:space="preserve">Firm</t>
  </si>
  <si>
    <t xml:space="preserve">Rating</t>
  </si>
  <si>
    <t xml:space="preserve">Price Target</t>
  </si>
  <si>
    <t xml:space="preserve">Upside/(Downside)</t>
  </si>
  <si>
    <t xml:space="preserve">Notes</t>
  </si>
  <si>
    <t xml:space="preserve">Aug 12</t>
  </si>
  <si>
    <t xml:space="preserve">TD Cowen</t>
  </si>
  <si>
    <t xml:space="preserve">Buy</t>
  </si>
  <si>
    <t xml:space="preserve">Aug 6</t>
  </si>
  <si>
    <t xml:space="preserve">Canaccord Genuity</t>
  </si>
  <si>
    <t xml:space="preserve">Morgan Stanley</t>
  </si>
  <si>
    <t xml:space="preserve">Underweight</t>
  </si>
  <si>
    <t xml:space="preserve">HC Wainwright</t>
  </si>
  <si>
    <t xml:space="preserve">Needham</t>
  </si>
  <si>
    <t xml:space="preserve">Jul 31</t>
  </si>
  <si>
    <t xml:space="preserve">Mizuho</t>
  </si>
  <si>
    <t xml:space="preserve">Neutral</t>
  </si>
  <si>
    <t xml:space="preserve">Jul 22</t>
  </si>
  <si>
    <t xml:space="preserve">Raymond James</t>
  </si>
  <si>
    <t xml:space="preserve">Market Perform</t>
  </si>
  <si>
    <t xml:space="preserve">-</t>
  </si>
  <si>
    <t xml:space="preserve">Jul 14</t>
  </si>
  <si>
    <t xml:space="preserve">Underperform</t>
  </si>
  <si>
    <t xml:space="preserve">Jul 13</t>
  </si>
  <si>
    <t xml:space="preserve">Baird</t>
  </si>
  <si>
    <t xml:space="preserve">Outperform</t>
  </si>
  <si>
    <t xml:space="preserve">Jul 2</t>
  </si>
  <si>
    <t xml:space="preserve">Goldman Sachs</t>
  </si>
  <si>
    <t xml:space="preserve">Jul 1</t>
  </si>
  <si>
    <t xml:space="preserve">Compass Point</t>
  </si>
  <si>
    <t xml:space="preserve">Susquehanna</t>
  </si>
  <si>
    <t xml:space="preserve">Consensus (approx.)</t>
  </si>
  <si>
    <t xml:space="preserve">~23-27 analysts: ~11 Buy, 2 Outperform, 12 Hold, 1 Sell</t>
  </si>
  <si>
    <t xml:space="preserve">Read-through: extreme dispersion (Morgan Stanley $37 vs. Canaccord $130 — a &gt;3x spread) reflects genuine analyst disagreement about how much further reserve-yield compression is coming and whether USDC circulation growth/diversification can offset it — the same tension this model's Bear/Base/Bull spread is built to make explicit and quantified rather than just described.</t>
  </si>
  <si>
    <t xml:space="preserve">SCENARIO VALUATION — METHOD 1: EXIT EV/ADJ. EBITDA MULTIPLE (FY2028E)</t>
  </si>
  <si>
    <t xml:space="preserve">FY2028E Adj. EBITDA ($mm)</t>
  </si>
  <si>
    <t xml:space="preserve">Implied enterprise value ($mm)</t>
  </si>
  <si>
    <t xml:space="preserve">Implied equity value ($mm, + net cash)</t>
  </si>
  <si>
    <t xml:space="preserve">FY2028E diluted shares (mm)</t>
  </si>
  <si>
    <t xml:space="preserve">Implied share price (Method 1)</t>
  </si>
  <si>
    <t xml:space="preserve">SCENARIO VALUATION — METHOD 2: 3-YEAR DCF ON REAL UNLEVERED FCF (FY2026E-FY2028E)</t>
  </si>
  <si>
    <t xml:space="preserve">v3: FCF here is real unlevered free cash flow from the Cash Flow Statement tab (Net income + D&amp;A + SBC - Capex, i.e. CFO - Capex), not the v2.1 EBITDA-based proxy — it reflects actual taxes paid (via net income), D&amp;A, SBC add-back, and capex, not an illustrative flat-rate approximation.</t>
  </si>
  <si>
    <t xml:space="preserve">PV of FY26E-FY28E unlevered FCF, discounted at WACC ($mm)</t>
  </si>
  <si>
    <t xml:space="preserve">PV of terminal value (Gordon growth on FY28E unlevered FCF)</t>
  </si>
  <si>
    <t xml:space="preserve">Enterprise value ($mm)</t>
  </si>
  <si>
    <t xml:space="preserve">  Terminal value as % of EV</t>
  </si>
  <si>
    <t xml:space="preserve">Implied share price (Method 2 — DCF)</t>
  </si>
  <si>
    <t xml:space="preserve">Both methods use the same underlying FY26E-FY28E build per case (Income Statement / Cash Flow Statement tabs), so they should be read as two lenses on one forecast, not two independent forecasts. WACC (12%) and terminal growth (3%) are held constant across cases to isolate the operating-scenario effect — a fuller build would also flex the discount rate by case (Bear plausibly deserves a higher WACC given greater uncertainty). No debt is outstanding, so unlevered and levered FCF are identical here — no further adjustment needed.</t>
  </si>
  <si>
    <t xml:space="preserve">DCF SENSITIVITY (BASE CASE) — WACC x TERMINAL GROWTH RATE</t>
  </si>
  <si>
    <t xml:space="preserve">The single 12% WACC / 3% terminal growth base case above is not precise to the decimal — this grid shows how much the DCF-implied price actually swings across a reasonable range of both inputs, rebuilt directly per cell (not an Excel What-If Data Table, for LibreOffice portability).</t>
  </si>
  <si>
    <t xml:space="preserve">WACC ↓ / Terminal growth →</t>
  </si>
  <si>
    <t xml:space="preserve">DRIVER SENSITIVITY (BASE CASE) — USDC GROWTH x RESERVE YIELD, AND x RLDC MARGIN</t>
  </si>
  <si>
    <t xml:space="preserve">More informative for CRCL specifically than the WACC/growth grid above — USDC circulation growth and reserve yield (or RLDC margin) are the two variables that actually move this stock. Each cell rebuilds an exit-multiple valuation (FY2028E, at the Base-case 9.5x multiple) from a flat annual circulation growth rate applied FY27E-FY28E off the FY2026E Base anchor, holding Other Revenue, opex, and the untested axis (yield or margin) at their Base-case FY28E values.</t>
  </si>
  <si>
    <t xml:space="preserve">USDC growth ↓ / Reserve yield →</t>
  </si>
  <si>
    <t xml:space="preserve">USDC growth ↓ / RLDC margin →</t>
  </si>
  <si>
    <t xml:space="preserve">Read Grid 1 at the 20% growth row (this model's Base case) and the 3.5% yield column (also Base) — that cell should be close to (not exactly equal to, since the grid uses a flat 2-year growth rate rather than the Base case's own slightly-declining FY27E/28E growth path) the Method 1 Base-case price above. Compare the current price's implied position on both grids to see whether the market looks more like it's pricing a growth story or a margin/yield story.</t>
  </si>
  <si>
    <t xml:space="preserve">REVERSE DCF — WHAT DOES THE CURRENT PRICE IMPLY?</t>
  </si>
  <si>
    <t xml:space="preserve">Instead of 'what is CRCL worth', this section asks 'what has to be true for $87.98 to be right' — solving backward through the Method 1 (exit-multiple) framework, one lever at a time, holding every OTHER Base-case FY2028E assumption fixed. This is the model version of the Dashboard's 'what the market appears to be pricing' note — a real computed answer instead of a qualitative one. Solving one lever at a time is a real simplification (the actual answer is some combination of all four moving together) but is standard practice for reverse DCFs, since solving jointly is underdetermined.</t>
  </si>
  <si>
    <t xml:space="preserve">Required FY2028E Adj. EBITDA to justify current price ($mm)</t>
  </si>
  <si>
    <t xml:space="preserve">vs. this model's Base-case FY2028E EBITDA:</t>
  </si>
  <si>
    <t xml:space="preserve">  ...implies Required EBITDA / Base-case EBITDA</t>
  </si>
  <si>
    <t xml:space="preserve">  (helper) Required FY2028E Total Revenue at Base-case RLDC margin ($mm)</t>
  </si>
  <si>
    <t xml:space="preserve">  (helper) Required FY2028E reserve income at Base-case Other Revenue ($mm)</t>
  </si>
  <si>
    <t xml:space="preserve">Required FY2026E-FY2028E USDC circulation CAGR (holding yield/margin/opex/multiple at Base)</t>
  </si>
  <si>
    <t xml:space="preserve">vs. this model's own Base-case FY26E-FY28E circulation CAGR:</t>
  </si>
  <si>
    <t xml:space="preserve">Required FY2028E reserve yield (holding circulation/margin/opex/multiple at Base)</t>
  </si>
  <si>
    <t xml:space="preserve">vs. this model's own Base-case FY2028E yield:</t>
  </si>
  <si>
    <t xml:space="preserve">Required FY2028E RLDC margin (holding circulation/yield/opex/multiple at Base)</t>
  </si>
  <si>
    <t xml:space="preserve">vs. this model's own Base-case FY2028E margin (and FY26 guidance ceiling 43.7%):</t>
  </si>
  <si>
    <t xml:space="preserve">Required exit EV/Adj.EBITDA multiple (holding circulation/yield/margin/opex at Base)</t>
  </si>
  <si>
    <t xml:space="preserve">vs. this model's own Base (9.5x) and Bull (14.0x) multiples:</t>
  </si>
  <si>
    <t xml:space="preserve">Read each row independently — they are NOT simultaneous requirements, they are four separate 'what if only this one thing changed' answers. As computed, three of the four single-lever answers are not just aggressive but close to mathematically implausible on their own — a ~102% 2-year circulation CAGR (circulation would need to roughly quadruple in 2 years), an ~82% RLDC margin (RLDC margin has never approached that level for any comparable business, let alone this one), and a ~24x exit multiple (above this model's own Bull-case 14x). The reserve-yield answer (~6.0%, roughly double this model's Base-case FY28E yield) is the one single lever that's merely aggressive rather than implausible. Read together, this says the current price is not well explained by any ONE assumption moving on its own — it more likely reflects several levers (growth, yield, margin, AND multiple) each running somewhat above this model's Base case simultaneously, which is exactly the 'something close to Bull' read on the Dashboard.</t>
  </si>
  <si>
    <t xml:space="preserve">SUMMARY — IMPLIED PRICE VS. CURRENT PRICE &amp; STREET TARGET</t>
  </si>
  <si>
    <t xml:space="preserve">Method 1 (exit multiple)</t>
  </si>
  <si>
    <t xml:space="preserve">Method 2 (DCF)</t>
  </si>
  <si>
    <t xml:space="preserve">  Upside / (downside) to blended (blended / current - 1)</t>
  </si>
  <si>
    <t xml:space="preserve">Street consensus target (for reference)</t>
  </si>
  <si>
    <t xml:space="preserve">Probability-weighted target (25% Bear / 50% Base / 25% Bull, on Blended row)</t>
  </si>
  <si>
    <t xml:space="preserve">Weights are this model's own judgment (roughly even bear/bull tails, base case most likely) — not derived from options-implied probabilities or any third-party source. Change to your own view.</t>
  </si>
  <si>
    <t xml:space="preserve">This is a scenario framework, not a single price target — the range across methods and cases is the point. Compare to the Street's own &gt;3x spread (Morgan Stanley $37 to Canaccord $130) above: this model's Bear-to-Bull spread is a similarly wide, and similarly genuine, reflection of how unsettled the rate-vs-growth debate is for this name.</t>
  </si>
  <si>
    <t xml:space="preserve">CONSISTENCY CHECK (v3): Method 1's exit multiples were recalibrated in v2.1 (Base 14x -&gt; 9.5x) to sit close to what Method 2's own WACC (12%) / terminal growth (3%) assumptions imply as a 'fair' terminal multiple. In v3, Method 2 was rebuilt on REAL unlevered FCF from the 3-statement build (replacing v2.1's EBITDA-based proxy) — Base-case outputs are now Method 1 $38.00 vs. Method 2 $37.14, a ~2% gap, even tighter than v2.1's already-improved ~19% gap, largely because real UFCF (net of actual cash taxes, D&amp;A, and SBC add-back) sits a bit below the old proxy. This is a good sign: two independently-built methods, now both resting on the real 3-statement build, converge closely in the Base case without being forced to.</t>
  </si>
  <si>
    <t xml:space="preserve">WHAT THE MARKET APPEARS TO BE PRICING: at $87.98, the current price sits above every Bear/Base output and close to the Bull-case Blended output (~$87.37, essentially in line) — i.e. the market is pricing something close to this model's Bull scenario. The Reverse DCF section above turns this into an actual computed answer rather than just this qualitative read: no single Base-anchored lever (growth, yield, margin, or multiple) explains the price on its own without going to near-implausible extremes, EXCEPT reserve yield, where the required ~6.0% is merely aggressive (not impossible) relative to the model's Base-case 2.9% FY28E yield. Read together: the price most likely reflects several levers running above Base simultaneously, not one dominant story.</t>
  </si>
  <si>
    <t xml:space="preserve">USDC MARKET SHARE — TREND AND CONTEXT</t>
  </si>
  <si>
    <t xml:space="preserve">Metric</t>
  </si>
  <si>
    <t xml:space="preserve">Value</t>
  </si>
  <si>
    <t xml:space="preserve">Source / note</t>
  </si>
  <si>
    <t xml:space="preserve">USDC market cap ($bn)</t>
  </si>
  <si>
    <t xml:space="preserve">Fool.com, ~Aug 10 2026</t>
  </si>
  <si>
    <t xml:space="preserve">USDC share of total stablecoin market</t>
  </si>
  <si>
    <t xml:space="preserve">Fool.com / TradingView cross-check, ~Aug 2026</t>
  </si>
  <si>
    <t xml:space="preserve">USDC peak share (approx., prior period)</t>
  </si>
  <si>
    <t xml:space="preserve">TradingView chart annotation — exact date not confirmed</t>
  </si>
  <si>
    <t xml:space="preserve">USDT (Tether) market cap ($bn)</t>
  </si>
  <si>
    <t xml:space="preserve">USDT share of total stablecoin market</t>
  </si>
  <si>
    <t xml:space="preserve">Total stablecoin market ($bn, implied)</t>
  </si>
  <si>
    <t xml:space="preserve">Implied from USDT $ and % share</t>
  </si>
  <si>
    <t xml:space="preserve">USDC's share of the stablecoin market has fallen materially from a prior peak (~35%) to roughly 23% as of Aug 2026 — Circle is not the dominant player in its own product category, USDT is. This is a longer-running, structural trend distinct from the more recent Open USD threat discussed below; no single historical data series with confirmed dates was found this pass to chart the full trajectory (flagged in Sources &amp; Notes) — treat the peak figure as directional, not precise.</t>
  </si>
  <si>
    <t xml:space="preserve">COINBASE DISTRIBUTION SENSITIVITY</t>
  </si>
  <si>
    <t xml:space="preserve">Coinbase is Circle's largest single distribution partner; the distribution-cost ratio (currently ~61.5% of reserve income, per Historical Financials) is the single biggest lever in the entire model besides the Fed rate path itself. This table shows the Adj. EBITDA impact if that ratio moves — e.g. from a renegotiated Coinbase deal, or competitive pressure from Open USD forcing Circle to share more.</t>
  </si>
  <si>
    <t xml:space="preserve">Distribution ratio scenario</t>
  </si>
  <si>
    <t xml:space="preserve">Reserve income ($mm, FY26E Base)</t>
  </si>
  <si>
    <t xml:space="preserve">Adj. EBITDA impact vs. current ($mm)</t>
  </si>
  <si>
    <t xml:space="preserve">Current (~61.5%)</t>
  </si>
  <si>
    <t xml:space="preserve">+5pt (renegotiation risk)</t>
  </si>
  <si>
    <t xml:space="preserve">+10pt (Open USD pressure)</t>
  </si>
  <si>
    <t xml:space="preserve">+15pt (severe — OUSD-style yield-sharing)</t>
  </si>
  <si>
    <t xml:space="preserve">-5pt (Circle holds/improves terms)</t>
  </si>
  <si>
    <t xml:space="preserve">USDC MARKET-SHARE-LOSS SCENARIO (ILLUSTRATIVE)</t>
  </si>
  <si>
    <t xml:space="preserve">No analyst or company estimate for Open USD's potential market-share impact on USDC was found in this pass — CoinShares (Jul 13 2026) called it 'the most credible threat since inception' but gave no number, and Coindesk (Aug 3 2026) reported Visa/Mastercard/Coinbase publicly still support USDC too, i.e. no confirmed volume shift yet. The scenarios below are this model's own illustrative construction to make the risk quantifiable rather than leaving it narrative-only — label them as such, not as a forecast.</t>
  </si>
  <si>
    <t xml:space="preserve">Circulation lost to competitors by FY28E</t>
  </si>
  <si>
    <t xml:space="preserve">FY28E circulation impact ($bn)</t>
  </si>
  <si>
    <t xml:space="preserve">FY28E reserve income impact ($mm, Base yield)</t>
  </si>
  <si>
    <t xml:space="preserve">0%</t>
  </si>
  <si>
    <t xml:space="preserve">5%</t>
  </si>
  <si>
    <t xml:space="preserve">10%</t>
  </si>
  <si>
    <t xml:space="preserve">20%</t>
  </si>
  <si>
    <t xml:space="preserve">GENIUS ACT / REGULATORY SCENARIO</t>
  </si>
  <si>
    <t xml:space="preserve">GENIUS Act implementation is still in motion: Treasury's NPRM comment period runs through Oct 19 2026; OCC and FDIC have issued related bulletins/releases. No confirmed compliance-cost figure has been disclosed by Circle or estimated by covering analysts as of this model's date. The illustrative range below is this model's own order-of-magnitude placeholder — NOT a disclosed or analyst figure — included so the risk has a quantified home in the model rather than being purely qualitative; replace with a real figure the moment one is disclosed or credibly estimated.</t>
  </si>
  <si>
    <t xml:space="preserve">Illustrative incremental annual compliance/opex cost</t>
  </si>
  <si>
    <t xml:space="preserve">to</t>
  </si>
  <si>
    <t xml:space="preserve">($mm/yr) — a 3-10% headwind to FY26E Base-case Adj. EBITDA of ~$791mm if realized</t>
  </si>
  <si>
    <t xml:space="preserve">IS THE BEAR CASE 'OPEN USD PRESSURE'? — EXPLICIT LINKAGE TO SCENARIO ASSUMPTIONS</t>
  </si>
  <si>
    <t xml:space="preserve">Rather than adding a fourth scenario column throughout the model (which would require rebuilding every downstream tab), the Bear case on the Assumptions/Projections/Valuation tabs is explicitly calibrated to already BE the Open USD / competitive-pressure scenario: it combines slower circulation growth AND a weaker RLDC margin simultaneously, consistent with the distribution-ratio and share-loss shocks quantified above. The table below makes that linkage explicit rather than leaving Bear as an unexplained set of lower numbers.</t>
  </si>
  <si>
    <t xml:space="preserve">Driver</t>
  </si>
  <si>
    <t xml:space="preserve">Base case</t>
  </si>
  <si>
    <t xml:space="preserve">Bear case</t>
  </si>
  <si>
    <t xml:space="preserve">Bear vs. Base</t>
  </si>
  <si>
    <t xml:space="preserve">Read-through</t>
  </si>
  <si>
    <t xml:space="preserve">FY2028E circulation growth (YoY)</t>
  </si>
  <si>
    <t xml:space="preserve">Slower growth = share loss to Open USD / other competitors, made explicit</t>
  </si>
  <si>
    <t xml:space="preserve">FY2028E RLDC margin (co. definition)</t>
  </si>
  <si>
    <t xml:space="preserve">Lower margin = wider distribution-cost sharing, i.e. a renegotiated/worse Coinbase deal or Open USD-style yield competition forcing Circle to give up more economics</t>
  </si>
  <si>
    <t xml:space="preserve">Resulting Method 1 (exit multiple) price, Bear case</t>
  </si>
  <si>
    <t xml:space="preserve">(Bear column)</t>
  </si>
  <si>
    <t xml:space="preserve">Resulting blended price, Bear case</t>
  </si>
  <si>
    <t xml:space="preserve">If you want a materially worse 'severe Open USD' outcome than this model's Bear case captures, the fastest way to stress it further without restructuring the model is to overwrite the Bear-case yellow cells on the Assumptions tab directly (e.g. push circulation growth toward the -5pt/-10pt distribution-ratio and 10-20% share-loss scenarios quantified above) — every downstream tab recalculates automatically from those cells.</t>
  </si>
  <si>
    <t xml:space="preserve">APPENDIX — LOW PRIORITY / REFERENCE ONLY. This tab is retained for context on where the stock has traded, not as a decision input: the fundamental valuation work is on the Valuation and Cover tabs. STALENESS FLAG: the levels below are from technical commentary dated Aug 2-11, 2026. The stock has since moved from the ~$63-71 range that commentary describes to $87.98 (Aug 21 close) — a +20%+ move in roughly a week and a half. Treat every specific level below as STALE and directional context only — do not use it to time entries/exits, and pull fresh levels before trading on it. The most perishable single-day stats (RSI, ATR) have been dropped from v2's table entirely rather than shown stale; 52-week range and EMAs are kept since they re-anchor more slowly.</t>
  </si>
  <si>
    <t xml:space="preserve">PRICE LEVELS &amp; MOVING AVERAGES (AS ORIGINALLY SOURCED — SEE STALENESS FLAG ABOVE)</t>
  </si>
  <si>
    <t xml:space="preserve">Last price (Aug 21, 2026 close) — CURRENT</t>
  </si>
  <si>
    <t xml:space="preserve">stockanalysis.com — supersedes the technical levels below</t>
  </si>
  <si>
    <t xml:space="preserve">52-week high</t>
  </si>
  <si>
    <t xml:space="preserve">wallstreetzen.com / barchart.com — exact date unconfirmed, ~mid-May 2026</t>
  </si>
  <si>
    <t xml:space="preserve">52-week low</t>
  </si>
  <si>
    <t xml:space="preserve">late Feb 2026, ahead of Q4'25 earnings</t>
  </si>
  <si>
    <t xml:space="preserve">20-day EMA (as of 7/31/26 snapshot)</t>
  </si>
  <si>
    <t xml:space="preserve">cryptonomist.ch technical column — STALE</t>
  </si>
  <si>
    <t xml:space="preserve">50-day EMA (as of 7/31/26 snapshot)</t>
  </si>
  <si>
    <t xml:space="preserve">cryptonomist.ch — STALE, price has since moved above this</t>
  </si>
  <si>
    <t xml:space="preserve">200-day EMA (as of 8/10/26 snapshot)</t>
  </si>
  <si>
    <t xml:space="preserve">cryptonomist.ch — STALE, price is now roughly AT this level</t>
  </si>
  <si>
    <t xml:space="preserve">OPTIONS, SHORT INTEREST &amp; OWNERSHIP</t>
  </si>
  <si>
    <t xml:space="preserve">Implied volatility</t>
  </si>
  <si>
    <t xml:space="preserve">~85% (as of early Aug)</t>
  </si>
  <si>
    <t xml:space="preserve">Unusual Whales — elevated in absolute terms, likely stale</t>
  </si>
  <si>
    <t xml:space="preserve">Put/Call volume ratio</t>
  </si>
  <si>
    <t xml:space="preserve">0.31 (as of early Aug)</t>
  </si>
  <si>
    <t xml:space="preserve">Barchart — bullish-skewed flow at the time</t>
  </si>
  <si>
    <t xml:space="preserve">Short interest (% of float/shares out)</t>
  </si>
  <si>
    <t xml:space="preserve">~10%</t>
  </si>
  <si>
    <t xml:space="preserve">Fintel / stockanalysis.com — converge ~10%</t>
  </si>
  <si>
    <t xml:space="preserve">Days to cover</t>
  </si>
  <si>
    <t xml:space="preserve">~1.7 days</t>
  </si>
  <si>
    <t xml:space="preserve">Not squeeze-level; reflects heavy liquidity</t>
  </si>
  <si>
    <t xml:space="preserve">Institutional ownership</t>
  </si>
  <si>
    <t xml:space="preserve">~55-65% (source variance)</t>
  </si>
  <si>
    <t xml:space="preserve">Fintel 64.9% vs. stockanalysis.com 55.5%</t>
  </si>
  <si>
    <t xml:space="preserve">Insider ownership</t>
  </si>
  <si>
    <t xml:space="preserve">~11.4%</t>
  </si>
  <si>
    <t xml:space="preserve">stockanalysis.com statistics</t>
  </si>
  <si>
    <t xml:space="preserve">Diluted shares outstanding (basic vs. diluted)</t>
  </si>
  <si>
    <t xml:space="preserve">253.9mm basic / 268.6mm diluted</t>
  </si>
  <si>
    <t xml:space="preserve">See Cover tab — real dilution bridge, not a single figure</t>
  </si>
  <si>
    <t xml:space="preserve">HISTORICAL CATALYSTS SINCE IPO</t>
  </si>
  <si>
    <t xml:space="preserve">Date</t>
  </si>
  <si>
    <t xml:space="preserve">Event</t>
  </si>
  <si>
    <t xml:space="preserve">Stock reaction</t>
  </si>
  <si>
    <t xml:space="preserve">Jun 5, 2025</t>
  </si>
  <si>
    <t xml:space="preserve">IPO priced at $31/share (upsized); NYSE debut</t>
  </si>
  <si>
    <t xml:space="preserve">+168% day 1 close ($82.84)</t>
  </si>
  <si>
    <t xml:space="preserve">Jun 23, 2025</t>
  </si>
  <si>
    <t xml:space="preserve">Post-IPO euphoria peak</t>
  </si>
  <si>
    <t xml:space="preserve">All-time closing high $263.45</t>
  </si>
  <si>
    <t xml:space="preserve">Aug 14-15, 2025</t>
  </si>
  <si>
    <t xml:space="preserve">Secondary offering: 10mm Class A shares at $130</t>
  </si>
  <si>
    <t xml:space="preserve">-6% after-hours on dilution</t>
  </si>
  <si>
    <t xml:space="preserve">Dec 2, 2025</t>
  </si>
  <si>
    <t xml:space="preserve">180-day IPO lock-up expiration (~34mm shares)</t>
  </si>
  <si>
    <t xml:space="preserve">Added selling pressure</t>
  </si>
  <si>
    <t xml:space="preserve">Nov 13, 2025</t>
  </si>
  <si>
    <t xml:space="preserve">Q3'25 earnings: EPS $0.64 vs. $0.20 est. (beat), rev +66% YoY</t>
  </si>
  <si>
    <t xml:space="preserve">-12% (lock-up + opex guide raise)</t>
  </si>
  <si>
    <t xml:space="preserve">~Late Feb 2026</t>
  </si>
  <si>
    <t xml:space="preserve">52-week low reached amid broader crypto/BTC weakness</t>
  </si>
  <si>
    <t xml:space="preserve">$49.90 low</t>
  </si>
  <si>
    <t xml:space="preserve">Feb 25, 2026</t>
  </si>
  <si>
    <t xml:space="preserve">Q4'25 earnings: EPS $0.43 vs. $0.35 est. (beat)</t>
  </si>
  <si>
    <t xml:space="preserve">+35.5% to $83.14</t>
  </si>
  <si>
    <t xml:space="preserve">May 13, 2026</t>
  </si>
  <si>
    <t xml:space="preserve">Q1'26 earnings: rev $694mm (+20% YoY), EBITDA +24% YoY</t>
  </si>
  <si>
    <t xml:space="preserve">Stock ~$124 that day (near 52-wk high)</t>
  </si>
  <si>
    <t xml:space="preserve">Jun 30, 2026</t>
  </si>
  <si>
    <t xml:space="preserve">"Open USD" rival consortium announced (Stripe/Coinbase/Mastercard/Visa/BlackRock)</t>
  </si>
  <si>
    <t xml:space="preserve">-17%, closed &lt;$63</t>
  </si>
  <si>
    <t xml:space="preserve">Jul 8, 2026</t>
  </si>
  <si>
    <t xml:space="preserve">GENIUS Act 1-yr deadline approaching; macro risk-off</t>
  </si>
  <si>
    <t xml:space="preserve">-2.8%</t>
  </si>
  <si>
    <t xml:space="preserve">Jul 13, 2026</t>
  </si>
  <si>
    <t xml:space="preserve">CoinShares: Open USD 'most credible threat since inception'</t>
  </si>
  <si>
    <t xml:space="preserve">Continued pressure</t>
  </si>
  <si>
    <t xml:space="preserve">Jul 31, 2026</t>
  </si>
  <si>
    <t xml:space="preserve">NY trust charter approved + ~1,000 IBM blockchain patents acquired</t>
  </si>
  <si>
    <t xml:space="preserve">-7% despite good news</t>
  </si>
  <si>
    <t xml:space="preserve">Aug 5, 2026</t>
  </si>
  <si>
    <t xml:space="preserve">Q2'26 earnings: rev $701mm missed $717mm est. (+7% YoY); raised RLDC margin &amp; Other Rev guide</t>
  </si>
  <si>
    <t xml:space="preserve">Reversed +7% intraday to -3% close</t>
  </si>
  <si>
    <t xml:space="preserve">Aug 21, 2026</t>
  </si>
  <si>
    <t xml:space="preserve">Rebound continues</t>
  </si>
  <si>
    <t xml:space="preserve">+5.2% to $87.98 close</t>
  </si>
  <si>
    <t xml:space="preserve">FORWARD CATALYSTS</t>
  </si>
  <si>
    <t xml:space="preserve">Why it matters</t>
  </si>
  <si>
    <t xml:space="preserve">Sep 15-16, 2026</t>
  </si>
  <si>
    <t xml:space="preserve">FOMC meeting + Summary of Economic Projections</t>
  </si>
  <si>
    <t xml:space="preserve">Rate path directly drives reserve yield</t>
  </si>
  <si>
    <t xml:space="preserve">~Oct-Nov 2026 (unconfirmed)</t>
  </si>
  <si>
    <t xml:space="preserve">Q3'26 earnings (consensus estimate — not company-confirmed)</t>
  </si>
  <si>
    <t xml:space="preserve">Next read on circulation growth vs. yield compression; watch RLDC margin vs. the 41.7-43.7% FY26 guide</t>
  </si>
  <si>
    <t xml:space="preserve">Oct 19, 2026</t>
  </si>
  <si>
    <t xml:space="preserve">Comment period closes on Treasury's GENIUS Act NPRM</t>
  </si>
  <si>
    <t xml:space="preserve">Could reshape competitive/compliance landscape — see Competitive &amp; Distribution Risks tab</t>
  </si>
  <si>
    <t xml:space="preserve">Oct 27-28, 2026</t>
  </si>
  <si>
    <t xml:space="preserve">FOMC meeting</t>
  </si>
  <si>
    <t xml:space="preserve">Rate path</t>
  </si>
  <si>
    <t xml:space="preserve">Dec 8-9, 2026</t>
  </si>
  <si>
    <t xml:space="preserve">Ongoing</t>
  </si>
  <si>
    <t xml:space="preserve">Open USD consortium rollout / scaling</t>
  </si>
  <si>
    <t xml:space="preserve">Direct threat to Circle-Coinbase distribution economics — watch for any actual volume shift, not just backer announcements</t>
  </si>
  <si>
    <t xml:space="preserve">WHAT CHANGED IN v2 (vs. the original single-tab-sensitivity model)</t>
  </si>
  <si>
    <t xml:space="preserve">This version was rebuilt in response to a structured review of v1's weaknesses: no integrated multi-year projection, an over-simple revenue-multiple valuation, coarse/undifferentiated assumptions, no quantified competitive-risk framework, and no explicit share-count/dilution bridge. v2 adds: a dedicated Assumptions tab with 3 fully-linked Bear/Base/Bull cases; an integrated Projections tab (circulation -&gt; reserve income -&gt; RLDC -&gt; Adj. EBITDA -&gt; FCF proxy -&gt; per-share, FY2026E-FY2028E); a Valuation tab with two independent methods (exit-multiple and a simple 3-year DCF) instead of one blended sanity check; a Competitive &amp; Distribution Risks tab quantifying Coinbase take-rate and USDC market-share-loss sensitivities; an explicit basic-vs-diluted share count distinction; and a Dashboard on the Cover tab comparing current price to scenario targets.</t>
  </si>
  <si>
    <t xml:space="preserve">Data was also refreshed against primary sources where possible — Circle's own Q2 2026 press release PDF (reserve income, distribution costs, RLDC margin definition and guidance, diluted share count, SBC, balance sheet), and FRED for the effective fed funds rate — rather than relying on secondary aggregators alone, per a separate improvement made to this model's underlying methodology around the same time.</t>
  </si>
  <si>
    <t xml:space="preserve">A real modeling bug was caught and fixed during this rebuild's own verification: an early draft grew the already-elapsed H1'26 circulation run-rate by a full additional year's case-growth rate, double-counting growth that had already happened and overstating every case's revenue (e.g. the 'Bear' case initially showed higher revenue than FY25A actuals despite an intentionally conservative growth assumption). Fixed by anchoring case growth to the FY2025A actual EOP circulation instead — see the Assumptions tab's circulation-base note for the full explanation. Left in this log deliberately: the point of a verification step is to catch exactly this kind of error before delivery, not to pretend the first draft was right.</t>
  </si>
  <si>
    <t xml:space="preserve">WHAT CHANGED IN v2.1 (valuation reconciliation + dashboard upgrade)</t>
  </si>
  <si>
    <t xml:space="preserve">Prompted by a follow-up review flagging that Method 1 (exit multiple, Base ~$53) and Method 2 (DCF, Base ~$32) diverged mainly because the two methods' underlying multiple assumptions were internally inconsistent, not because they reflected genuinely different views. Fixed by recalibrating Method 1's exit multiples (Bear 8x-&gt;7.5x, Base 14x-&gt;9.5x, Bull 20x-&gt;14x) so the Base case sits close to what Method 2's own WACC (12%)/terminal growth (3%) imply as a 'fair' terminal multiple (~8-9x) — Base-case outputs are now $38 (Method 1) vs. $32 (Method 2), a ~19% gap vs. the prior ~66% gap. Bear and Bull still carry deliberately wider spreads, since those cases are meant to diverge on genuinely different growth/quality assumptions, not just on an uncalibrated multiple.</t>
  </si>
  <si>
    <t xml:space="preserve">Added a WACC (10-14%) x terminal growth (2-4%) sensitivity grid to the Valuation tab so the DCF's own sensitivity to its two key inputs is visible, not just a single point estimate.</t>
  </si>
  <si>
    <t xml:space="preserve">Added a Blended (Method 1/Method 2 average) row, an Upside/(downside)-to-blended row, and a probability-weighted target (25% Bear / 50% Base / 25% Bull, on the blended figures) to both the Valuation tab summary and the Cover dashboard — plus a short note on what the current price appears to be pricing in, since it sits above every Bear/Base output and close to the Bull-case Method 1 output.</t>
  </si>
  <si>
    <t xml:space="preserve">Added a 'Bear case = Open USD pressure' linkage table to the Competitive &amp; Distrib Risks tab, showing explicitly how the Bear case's circulation-growth and RLDC-margin assumptions already embed the competitive/distribution risks quantified elsewhere on that tab, plus how to stress it further if a more severe scenario is wanted.</t>
  </si>
  <si>
    <t xml:space="preserve">Added an implied FY26E-FY28E other-revenue CAGR by case and a note on what has to be true for the Bull case's ~45% CAGR (Arc/CPN scaling) to the Assumptions tab.</t>
  </si>
  <si>
    <t xml:space="preserve">Trimmed the Technical &amp; Market Data tab (renamed 'Appendix - Technical Data' and re-flagged as reference-only/low-priority): dropped the fastest-decaying single-day stats (RSI, ATR) rather than presenting them stale.</t>
  </si>
  <si>
    <t xml:space="preserve">Not yet done (flagged, not urgent): the model still isn't a full 3-statement build with an integrated cash/net-cash roll-forward and balance-sheet identity — that remains the next structural upgrade if this model is extended further.</t>
  </si>
  <si>
    <t xml:space="preserve">WHAT CHANGED IN v3 (full 3-statement model + real UFCF + reverse DCF)</t>
  </si>
  <si>
    <t xml:space="preserve">Prompted by a detailed structured review flagging that the model still wasn't a full 3-statement build (v2.1's own 'not yet done' item), that Method 2's DCF ran off an EBITDA-based FCF proxy rather than real unlevered free cash flow, that Other Revenue was a single undifferentiated line, and that there was no reverse-DCF or driver-based sensitivity view. The user explicitly scoped this round to 'Tier 1' of a longer list: a tied-out 3-statement model, real UFCF, an SBC &amp; dilution schedule, a detailed USDC/Other-Revenue build, a reverse DCF, and a USDC-growth x yield x RLDC-margin sensitivity grid.</t>
  </si>
  <si>
    <t xml:space="preserve">Replaced the single Projections tab with four linked tabs — Income Statement, Balance Sheet, Cash Flow Statement, and SBC &amp; Dilution Schedule — each carrying Bear/Base/Bull x FY2026E-FY2028E. The Balance Sheet is anchored to Circle's real Q2'26A balance sheet (researched via SEC EDGAR XBRL and the 10-Q, not estimated) and ties out to exactly 0 (Assets - Liabilities - Equity) for every case and every year by construction: cash rolls via the Cash Flow Statement's net change, other corporate assets roll via prior + capex - D&amp;A, other corporate liabilities are held flat (flagged as a simplification), equity rolls via prior + net income + SBC add-back, and the USDC reserve-assets line is set exactly equal to the USDC circulation-liability line each period (both pass-throughs of the same circulation balance). Interest income is computed off a held-flat historical anchor cash balance rather than a dynamically compounding one — an explicit, documented simplification that avoids a circular reference the model's recalculation toolchain doesn't handle reliably.</t>
  </si>
  <si>
    <t xml:space="preserve">A real anchor-data inconsistency was caught and fixed before the first run, not after: Circle's actual Q2'26A USDC reserve assets ($74,050.5mm, including segregated stablecoin cash) exceed its actual USDC circulation/deposits liability ($72,927.5mm) by about $1.12bn. Forcing the forward model's reserve-assets line to equal its circulation-liability line for a clean tie-out, without adjusting anything else, would have left a permanent ~$1.12bn balance-sheet hole. Fixed by reclassifying that $1.12bn into 'Other corporate assets, net' and anchoring reserve assets to the circulation-liability figure — verified via manual algebra before running the script, then confirmed programmatically (balance check = 0 for every case x year) after.</t>
  </si>
  <si>
    <t xml:space="preserve">Method 2 (DCF) now discounts real unlevered free cash flow (CFO - capex, both built up from the new 3-statement model) instead of an EBITDA-based proxy. Base-case Method 1 and Method 2 outputs converge to within ~2% of each other as a result (vs. v2.1's already-tightened ~19% gap) — two independently-built methods agreeing closely once both rest on the same real financials.</t>
  </si>
  <si>
    <t xml:space="preserve">Other Revenue was split into two named, separately-driven sub-lines — Arc/CPN network revenue and other products revenue — each with its own Bear/Base/Bull growth path and a research-grounded note, replacing a single undifferentiated 'Other Revenue' assumption.</t>
  </si>
  <si>
    <t xml:space="preserve">Added an SBC &amp; Dilution Schedule tab tracking basic and diluted share counts explicitly (rather than growing only diluted shares), with SBC expense driven off Total Revenue x an explicit SBC% assumption (anchored to the real H1'26A ratio) instead of a flat dollar guess. Diluted and basic shares are grown at the same case-specific dilution rate, which holds the RSU/option overhang ratio constant — flagged as a simplification versus a full grant/vest/forfeiture waterfall, which Circle's proxy disclosures don't provide in enough granular detail to build with real numbers.</t>
  </si>
  <si>
    <t xml:space="preserve">Added a Reverse DCF section to the Valuation tab that inverts the Method 1 framework one lever at a time (holding all other Base-case FY2028E assumptions fixed) to ask what single assumption — circulation CAGR, reserve yield, RLDC margin, or exit multiple — would have to be true, on its own, to justify the current $87.98 price. The answers: required EBITDA $2,458mm (vs. Base $958mm); required CAGR ~101% (vs. Base ~17%); required yield ~6.0% (vs. Base ~2.9%); required RLDC margin ~81.6% (vs. Base ~42.5%); required multiple ~24.4x (vs. Base 9.5x, Bull 14.0x). Three of the four single-lever answers are near-mathematically-implausible in isolation; only the yield answer is merely aggressive. Read together, this suggests the price reflects several levers running above Base simultaneously rather than one dominant story — a sharper, quantified version of the 'what is the market pricing' question v2.1 could only answer qualitatively.</t>
  </si>
  <si>
    <t xml:space="preserve">Added two driver-based sensitivity grids (USDC growth x reserve yield, and USDC growth x RLDC margin) to the Valuation tab, each rebuilding a mini Base-case exit-multiple valuation from scratch per cell — a more intuitive complement to the existing WACC x terminal-growth DCF grid, since growth/yield/margin are the drivers this model's own bull/bear debate actually turns on.</t>
  </si>
  <si>
    <t xml:space="preserve">The Cover dashboard's tab list and several descriptive (non-formula) notes throughout the workbook were updated to reference the four new tab names in place of the retired single Projections tab; all formula cross-references were swept and confirmed via a full recalculation (0 errors across 797 formulas) rather than relying on the absence of Python exceptions alone.</t>
  </si>
  <si>
    <t xml:space="preserve">SOURCES &amp; DATA-QUALITY NOTES</t>
  </si>
  <si>
    <t xml:space="preserve">GENERAL: research compiled Aug 24, 2026; market data snapshot Aug 21, 2026 close. Not a Bloomberg/FactSet terminal pull — verify anything decision-critical against a primary source.</t>
  </si>
  <si>
    <t xml:space="preserve">PRIMARY SOURCE — Circle Q2 2026 press release (reserve income, distribution costs, RLDC margin definition &amp; FY26 guidance, diluted shares, SBC, balance sheet): s206.q4cdn.com/265218871/files/doc_news/2026/Aug/05/CIRCLE_Q2-2026.pdf</t>
  </si>
  <si>
    <t xml:space="preserve">Circle press releases (Q4'25, Q1'26): circle.com/pressroom; investor.circle.com</t>
  </si>
  <si>
    <t xml:space="preserve">SEC EDGAR: CIK 0001876042 — 10-K, 10-Q, 8-K, DEF 14A, Form 4 filings — sec.gov/cgi-bin/browse-edgar?action=getcompany&amp;CIK=0001876042</t>
  </si>
  <si>
    <t xml:space="preserve">Effective federal funds rate (3.63%, Aug 20 2026): FRED, fred.stlouisfed.org/series/DFF</t>
  </si>
  <si>
    <t xml:space="preserve">Current price/shares/market cap (Aug 21 2026 close): stockanalysis.com/stocks/crcl/</t>
  </si>
  <si>
    <t xml:space="preserve">Stablecoin market share (USDC ~23%, USDT ~59%, ~Aug 10 2026): fool.com/research/largest-stablecoins/</t>
  </si>
  <si>
    <t xml:space="preserve">USDC peak market share (~35%, date unconfirmed): TradingView chart annotation (kr.tradingview.com/chart/USDT/nT7aAU8s)</t>
  </si>
  <si>
    <t xml:space="preserve">Open USD threat assessment: CoinShares via cryptobriefing.com/coinshares-open-usd-threatens-circle-usdc/ (Jul 13 2026); coindesk.com/business/2026/08/03/open-usd-rattled-circle-s-stock-but-its-key-backers-still-support-usdc (Aug 3 2026, on the gap between announced support and actual commitment)</t>
  </si>
  <si>
    <t xml:space="preserve">Open USD announcement / stock reaction: coindesk.com/business/2026/06/30/circle-slides-8-as-stripe-coinbase-and-blackrock-back-rival-stablecoin-network</t>
  </si>
  <si>
    <t xml:space="preserve">Analyst ratings: tikr.com/blog; benzinga.com/quote/CRCL/analyst-ratings; stockanalysis.com/stocks/crcl</t>
  </si>
  <si>
    <t xml:space="preserve">Consensus estimates: simplywall.st/stocks/us/software/nyse-crcl/circle-internet-group/future</t>
  </si>
  <si>
    <t xml:space="preserve">GENIUS Act: federalregister.gov (Treasury NPRM); occ.gov Bulletins 2026-3 and 2026-24; fdic.gov</t>
  </si>
  <si>
    <t xml:space="preserve">Technical levels (STALE as of Aug 21 — see Appendix - Technical Data tab flag): cryptonomist.ch technical columns (Aug 2, 6, 10, 2026)</t>
  </si>
  <si>
    <t xml:space="preserve">Options data: unusualwhales.com/stock/CRCL/volatility; barchart.com/stocks/quotes/CRCL/put-call-ratios</t>
  </si>
  <si>
    <t xml:space="preserve">Short interest / institutional ownership: fintel.io/ss/us/crcl; fintel.io/so/us/crcl; stockanalysis.com/stocks/crcl/statistics</t>
  </si>
  <si>
    <t xml:space="preserve">Comps data: stockanalysis.com (COIN, PYPL, V, MA financials/statistics); companiesmarketcap.com cross-check</t>
  </si>
  <si>
    <t xml:space="preserve">Rate-cut revenue sensitivity estimate ($618mm/100bp): Dragonfly's Omar Kanji, circulated via fxstreet.com and bankless.com — an individual investor estimate, not sell-side/company guidance</t>
  </si>
  <si>
    <t xml:space="preserve">KEY DATA-QUALITY FLAGS (do not treat as settled facts without verification):</t>
  </si>
  <si>
    <t xml:space="preserve">  - RLDC margin has TWO different valid definitions in circulation — Circle's own (RLDC / Total Revenue) and this model's analytical one (distribution costs / reserve income only) — see the reconciliation note on the Historical Financials tab. Confusing the two will misstate margin by several points.</t>
  </si>
  <si>
    <t xml:space="preserve">  - Bear/Base/Bull assumptions beyond the current guided fiscal year (circulation growth, RLDC margin trajectory, other-revenue/opex growth, dilution rate) are this model's own illustrative construction — no third-party estimates broken out by scenario were found for these drivers.</t>
  </si>
  <si>
    <t xml:space="preserve">  - USDC market-share-loss and GENIUS Act compliance-cost scenarios on the Competitive &amp; Distrib Risks tab are explicitly illustrative placeholders, not disclosed or analyst figures — see that tab's notes.</t>
  </si>
  <si>
    <t xml:space="preserve">  - Technical levels (support/resistance, EMAs, IV) are stale as of the model date — the stock moved &gt;20% higher after those readings were taken. Pull fresh levels before relying on them; the most perishable single-day stats (RSI, ATR) were dropped from the v2.1 Appendix table entirely.</t>
  </si>
  <si>
    <t xml:space="preserve">  - Exit EV/EBITDA multiples (7.5x Bear / 9.5x Base / 14x Bull) used in Valuation Method 1 are this model's own judgment calls, not comp-derived (comp EV/EBITDA data was not sourced this pass). The Base-case multiple was recalibrated in v2.1 to sit close to Method 2's DCF-implied terminal multiple (~8-9x) — see the reconciliation note on the Valuation tab.</t>
  </si>
  <si>
    <t xml:space="preserve">  - USDC peak market-share figure (~35%) has an unconfirmed exact date — treat as directional.</t>
  </si>
  <si>
    <t xml:space="preserve">  - Lock-up expiration date (Dec 2, 2025) corroborated by two sources but the specific 34mm-share figure traces to a lower-confidence secondary source.</t>
  </si>
</sst>
</file>

<file path=xl/styles.xml><?xml version="1.0" encoding="utf-8"?>
<styleSheet xmlns="http://schemas.openxmlformats.org/spreadsheetml/2006/main">
  <numFmts count="8">
    <numFmt numFmtId="164" formatCode="General"/>
    <numFmt numFmtId="165" formatCode="\$#,##0.00;&quot;($&quot;#,##0.00\);\-"/>
    <numFmt numFmtId="166" formatCode="#,##0;\(#,##0\);\-"/>
    <numFmt numFmtId="167" formatCode="\$#,##0;&quot;($&quot;#,##0\);\-"/>
    <numFmt numFmtId="168" formatCode="0%;\(0%\);\-"/>
    <numFmt numFmtId="169" formatCode="\$#,##0.0;&quot;($&quot;#,##0.0\);\-"/>
    <numFmt numFmtId="170" formatCode="0.0%;\(0.0%\);\-"/>
    <numFmt numFmtId="171" formatCode="0.00\x"/>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2"/>
      <color rgb="FFFFFFFF"/>
      <name val="Arial"/>
      <family val="0"/>
      <charset val="1"/>
    </font>
    <font>
      <sz val="10"/>
      <color rgb="FF000000"/>
      <name val="Arial"/>
      <family val="0"/>
      <charset val="1"/>
    </font>
    <font>
      <b val="true"/>
      <sz val="10"/>
      <color rgb="FFFFFFFF"/>
      <name val="Arial"/>
      <family val="0"/>
      <charset val="1"/>
    </font>
    <font>
      <sz val="10"/>
      <color rgb="FF008000"/>
      <name val="Arial"/>
      <family val="0"/>
      <charset val="1"/>
    </font>
    <font>
      <b val="true"/>
      <sz val="10"/>
      <color rgb="FF9C0006"/>
      <name val="Arial"/>
      <family val="0"/>
      <charset val="1"/>
    </font>
    <font>
      <b val="true"/>
      <sz val="10"/>
      <color rgb="FF1F3864"/>
      <name val="Arial"/>
      <family val="0"/>
      <charset val="1"/>
    </font>
    <font>
      <b val="true"/>
      <sz val="10"/>
      <color rgb="FF006100"/>
      <name val="Arial"/>
      <family val="0"/>
      <charset val="1"/>
    </font>
    <font>
      <b val="true"/>
      <sz val="10"/>
      <color rgb="FF0000FF"/>
      <name val="Arial"/>
      <family val="0"/>
      <charset val="1"/>
    </font>
  </fonts>
  <fills count="10">
    <fill>
      <patternFill patternType="none"/>
    </fill>
    <fill>
      <patternFill patternType="gray125"/>
    </fill>
    <fill>
      <patternFill patternType="solid">
        <fgColor rgb="FF2E5395"/>
        <bgColor rgb="FF1F3864"/>
      </patternFill>
    </fill>
    <fill>
      <patternFill patternType="solid">
        <fgColor rgb="FF1F3864"/>
        <bgColor rgb="FF333333"/>
      </patternFill>
    </fill>
    <fill>
      <patternFill patternType="solid">
        <fgColor rgb="FFD9E2F3"/>
        <bgColor rgb="FFE4ECFC"/>
      </patternFill>
    </fill>
    <fill>
      <patternFill patternType="solid">
        <fgColor rgb="FFF2F2F2"/>
        <bgColor rgb="FFE4ECFC"/>
      </patternFill>
    </fill>
    <fill>
      <patternFill patternType="solid">
        <fgColor rgb="FFFFFF00"/>
        <bgColor rgb="FFFFFF00"/>
      </patternFill>
    </fill>
    <fill>
      <patternFill patternType="solid">
        <fgColor rgb="FFFCE4E4"/>
        <bgColor rgb="FFF2F2F2"/>
      </patternFill>
    </fill>
    <fill>
      <patternFill patternType="solid">
        <fgColor rgb="FFE4ECFC"/>
        <bgColor rgb="FFF2F2F2"/>
      </patternFill>
    </fill>
    <fill>
      <patternFill patternType="solid">
        <fgColor rgb="FFE4FCE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8" fillId="6"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8" fillId="6"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71" fontId="8" fillId="6"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8" fontId="16" fillId="4" borderId="0" xfId="0" applyFont="true" applyBorder="false" applyAlignment="true" applyProtection="false">
      <alignment horizontal="center" vertical="center" textRotation="0" wrapText="fals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14" fillId="8"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15" fillId="9" borderId="0" xfId="0" applyFont="true" applyBorder="true" applyAlignment="false" applyProtection="fals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7" fontId="16" fillId="4"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70" fontId="10" fillId="4" borderId="1" xfId="0" applyFont="true" applyBorder="true" applyAlignment="true" applyProtection="false">
      <alignment horizontal="center" vertical="center" textRotation="0" wrapText="false" indent="0" shrinkToFit="false"/>
      <protection locked="true" hidden="false"/>
    </xf>
    <xf numFmtId="168" fontId="10" fillId="4"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E4FCE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4ECFC"/>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6"/>
    <col collapsed="false" customWidth="true" hidden="false" outlineLevel="0" max="7" min="7" style="0" width="3"/>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4" t="s">
        <v>3</v>
      </c>
      <c r="C5" s="5" t="s">
        <v>4</v>
      </c>
    </row>
    <row r="6" customFormat="false" ht="15" hidden="false" customHeight="false" outlineLevel="0" collapsed="false">
      <c r="B6" s="4" t="s">
        <v>5</v>
      </c>
      <c r="C6" s="5" t="s">
        <v>6</v>
      </c>
    </row>
    <row r="8" customFormat="false" ht="19.5" hidden="false" customHeight="true" outlineLevel="0" collapsed="false">
      <c r="A8" s="6" t="s">
        <v>7</v>
      </c>
      <c r="B8" s="6"/>
      <c r="C8" s="6"/>
      <c r="D8" s="6"/>
      <c r="E8" s="6"/>
    </row>
    <row r="9" customFormat="false" ht="15" hidden="false" customHeight="false" outlineLevel="0" collapsed="false">
      <c r="B9" s="7" t="s">
        <v>8</v>
      </c>
      <c r="C9" s="8" t="n">
        <v>87.98</v>
      </c>
      <c r="E9" s="3" t="s">
        <v>9</v>
      </c>
    </row>
    <row r="10" customFormat="false" ht="15" hidden="false" customHeight="false" outlineLevel="0" collapsed="false">
      <c r="B10" s="7" t="s">
        <v>10</v>
      </c>
      <c r="C10" s="5" t="s">
        <v>11</v>
      </c>
      <c r="E10" s="3" t="s">
        <v>12</v>
      </c>
    </row>
    <row r="11" customFormat="false" ht="15" hidden="false" customHeight="false" outlineLevel="0" collapsed="false">
      <c r="B11" s="7" t="s">
        <v>13</v>
      </c>
      <c r="C11" s="9" t="n">
        <v>253.88</v>
      </c>
      <c r="E11" s="3" t="s">
        <v>14</v>
      </c>
    </row>
    <row r="12" customFormat="false" ht="15" hidden="false" customHeight="false" outlineLevel="0" collapsed="false">
      <c r="B12" s="7" t="s">
        <v>15</v>
      </c>
      <c r="C12" s="9" t="n">
        <v>268.6</v>
      </c>
      <c r="E12" s="3" t="s">
        <v>16</v>
      </c>
    </row>
    <row r="13" customFormat="false" ht="15" hidden="false" customHeight="false" outlineLevel="0" collapsed="false">
      <c r="B13" s="7" t="s">
        <v>17</v>
      </c>
      <c r="C13" s="10" t="n">
        <f aca="false">Cover_Price*Cover_Shares</f>
        <v>22336.3624</v>
      </c>
      <c r="E13" s="3" t="s">
        <v>18</v>
      </c>
    </row>
    <row r="14" customFormat="false" ht="15" hidden="false" customHeight="false" outlineLevel="0" collapsed="false">
      <c r="B14" s="7" t="s">
        <v>19</v>
      </c>
      <c r="C14" s="11" t="n">
        <v>1730</v>
      </c>
      <c r="E14" s="3" t="s">
        <v>20</v>
      </c>
    </row>
    <row r="15" customFormat="false" ht="15" hidden="false" customHeight="false" outlineLevel="0" collapsed="false">
      <c r="B15" s="7" t="s">
        <v>21</v>
      </c>
      <c r="C15" s="11" t="n">
        <v>0</v>
      </c>
      <c r="E15" s="3" t="s">
        <v>22</v>
      </c>
    </row>
    <row r="16" customFormat="false" ht="15" hidden="false" customHeight="false" outlineLevel="0" collapsed="false">
      <c r="B16" s="7" t="s">
        <v>23</v>
      </c>
      <c r="C16" s="10" t="n">
        <f aca="false">C14-C15</f>
        <v>1730</v>
      </c>
      <c r="E16" s="3" t="s">
        <v>24</v>
      </c>
    </row>
    <row r="18" customFormat="false" ht="19.5" hidden="false" customHeight="true" outlineLevel="0" collapsed="false">
      <c r="A18" s="6" t="s">
        <v>25</v>
      </c>
      <c r="B18" s="6"/>
      <c r="C18" s="6"/>
      <c r="D18" s="6"/>
      <c r="E18" s="6"/>
    </row>
    <row r="19" customFormat="false" ht="15" hidden="false" customHeight="true" outlineLevel="0" collapsed="false">
      <c r="B19" s="12"/>
      <c r="C19" s="12" t="s">
        <v>26</v>
      </c>
      <c r="D19" s="12" t="s">
        <v>27</v>
      </c>
      <c r="E19" s="12" t="s">
        <v>28</v>
      </c>
    </row>
    <row r="20" customFormat="false" ht="15" hidden="false" customHeight="true" outlineLevel="0" collapsed="false">
      <c r="B20" s="7" t="s">
        <v>29</v>
      </c>
      <c r="C20" s="13" t="n">
        <f aca="false">Valuation!C114</f>
        <v>13.5088385795399</v>
      </c>
      <c r="D20" s="13" t="n">
        <f aca="false">Valuation!D114</f>
        <v>38.004202761822</v>
      </c>
      <c r="E20" s="13" t="n">
        <f aca="false">Valuation!E114</f>
        <v>108.205869982795</v>
      </c>
    </row>
    <row r="21" customFormat="false" ht="15" hidden="false" customHeight="true" outlineLevel="0" collapsed="false">
      <c r="B21" s="7" t="s">
        <v>30</v>
      </c>
      <c r="C21" s="13" t="n">
        <f aca="false">Valuation!C115</f>
        <v>18.9831771152955</v>
      </c>
      <c r="D21" s="13" t="n">
        <f aca="false">Valuation!D115</f>
        <v>37.1380106772444</v>
      </c>
      <c r="E21" s="13" t="n">
        <f aca="false">Valuation!E115</f>
        <v>66.5295780839304</v>
      </c>
    </row>
    <row r="22" customFormat="false" ht="15" hidden="false" customHeight="true" outlineLevel="0" collapsed="false">
      <c r="B22" s="4" t="s">
        <v>31</v>
      </c>
      <c r="C22" s="13" t="n">
        <f aca="false">Valuation!C116</f>
        <v>16.2460078474177</v>
      </c>
      <c r="D22" s="13" t="n">
        <f aca="false">Valuation!D116</f>
        <v>37.5711067195332</v>
      </c>
      <c r="E22" s="13" t="n">
        <f aca="false">Valuation!E116</f>
        <v>87.3677240333627</v>
      </c>
    </row>
    <row r="23" customFormat="false" ht="15" hidden="false" customHeight="true" outlineLevel="0" collapsed="false">
      <c r="B23" s="14" t="s">
        <v>32</v>
      </c>
      <c r="C23" s="15" t="n">
        <f aca="false">Cover_Price</f>
        <v>87.98</v>
      </c>
      <c r="D23" s="15" t="n">
        <f aca="false">Cover_Price</f>
        <v>87.98</v>
      </c>
      <c r="E23" s="15" t="n">
        <f aca="false">Cover_Price</f>
        <v>87.98</v>
      </c>
    </row>
    <row r="24" customFormat="false" ht="15" hidden="false" customHeight="true" outlineLevel="0" collapsed="false">
      <c r="B24" s="3" t="s">
        <v>33</v>
      </c>
      <c r="C24" s="16" t="n">
        <f aca="false">IFERROR(C22/C23-1,"-")</f>
        <v>-0.815344307258267</v>
      </c>
      <c r="D24" s="16" t="n">
        <f aca="false">IFERROR(D22/D23-1,"-")</f>
        <v>-0.572958550584983</v>
      </c>
      <c r="E24" s="16" t="n">
        <f aca="false">IFERROR(E22/E23-1,"-")</f>
        <v>-0.00695926308976258</v>
      </c>
    </row>
    <row r="25" customFormat="false" ht="15" hidden="false" customHeight="true" outlineLevel="0" collapsed="false">
      <c r="B25" s="3" t="s">
        <v>34</v>
      </c>
      <c r="C25" s="17" t="n">
        <f aca="false">Valuation!$E$27</f>
        <v>105</v>
      </c>
      <c r="D25" s="17" t="n">
        <f aca="false">Valuation!$E$27</f>
        <v>105</v>
      </c>
      <c r="E25" s="17" t="n">
        <f aca="false">Valuation!$E$27</f>
        <v>105</v>
      </c>
    </row>
    <row r="26" customFormat="false" ht="15" hidden="false" customHeight="true" outlineLevel="0" collapsed="false">
      <c r="B26" s="14" t="s">
        <v>35</v>
      </c>
      <c r="C26" s="18" t="n">
        <f aca="false">Valuation!$C$121</f>
        <v>44.6889863299617</v>
      </c>
    </row>
    <row r="27" customFormat="false" ht="15" hidden="false" customHeight="true" outlineLevel="0" collapsed="false"/>
    <row r="28" customFormat="false" ht="57.75" hidden="false" customHeight="true" outlineLevel="0" collapsed="false">
      <c r="B28" s="19" t="s">
        <v>36</v>
      </c>
      <c r="C28" s="19"/>
      <c r="D28" s="19"/>
      <c r="E28" s="19"/>
      <c r="F28" s="19"/>
    </row>
    <row r="29" customFormat="false" ht="15" hidden="false" customHeight="true" outlineLevel="0" collapsed="false"/>
    <row r="30" customFormat="false" ht="15" hidden="false" customHeight="true" outlineLevel="0" collapsed="false">
      <c r="B30" s="4" t="s">
        <v>37</v>
      </c>
    </row>
    <row r="31" customFormat="false" ht="15" hidden="false" customHeight="true" outlineLevel="0" collapsed="false">
      <c r="B31" s="7" t="s">
        <v>38</v>
      </c>
      <c r="C31" s="20" t="n">
        <f aca="false">'Income Statement'!$C$37</f>
        <v>90.36</v>
      </c>
    </row>
    <row r="32" customFormat="false" ht="15" hidden="false" customHeight="true" outlineLevel="0" collapsed="false">
      <c r="B32" s="7" t="s">
        <v>39</v>
      </c>
      <c r="C32" s="21" t="n">
        <f aca="false">'Income Statement'!$C$39</f>
        <v>0.035</v>
      </c>
    </row>
    <row r="33" customFormat="false" ht="15" hidden="false" customHeight="true" outlineLevel="0" collapsed="false">
      <c r="B33" s="7" t="s">
        <v>40</v>
      </c>
      <c r="C33" s="21" t="n">
        <f aca="false">'Income Statement'!$C$46</f>
        <v>0.425</v>
      </c>
    </row>
    <row r="34" customFormat="false" ht="15" hidden="false" customHeight="true" outlineLevel="0" collapsed="false">
      <c r="B34" s="7" t="s">
        <v>41</v>
      </c>
      <c r="C34" s="22" t="n">
        <f aca="false">'Income Statement'!$C$50</f>
        <v>790.59625</v>
      </c>
    </row>
    <row r="35" customFormat="false" ht="15" hidden="false" customHeight="true" outlineLevel="0" collapsed="false"/>
    <row r="36" customFormat="false" ht="43.5" hidden="false" customHeight="true" outlineLevel="0" collapsed="false">
      <c r="B36" s="19" t="s">
        <v>42</v>
      </c>
      <c r="C36" s="19"/>
      <c r="D36" s="19"/>
      <c r="E36" s="19"/>
      <c r="F36" s="19"/>
    </row>
    <row r="37" customFormat="false" ht="15" hidden="false" customHeight="true" outlineLevel="0" collapsed="false"/>
    <row r="38" customFormat="false" ht="75" hidden="false" customHeight="true" outlineLevel="0" collapsed="false">
      <c r="B38" s="19" t="s">
        <v>43</v>
      </c>
      <c r="C38" s="19"/>
      <c r="D38" s="19"/>
      <c r="E38" s="19"/>
      <c r="F38" s="19"/>
    </row>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53" customFormat="false" ht="33.75" hidden="false" customHeight="true" outlineLevel="0" collapsed="false">
      <c r="B53" s="19" t="s">
        <v>44</v>
      </c>
      <c r="C53" s="19"/>
      <c r="D53" s="19"/>
      <c r="E53" s="19"/>
      <c r="F53" s="19"/>
    </row>
    <row r="54" customFormat="false" ht="27.75" hidden="false" customHeight="true" outlineLevel="0" collapsed="false">
      <c r="B54" s="19" t="s">
        <v>45</v>
      </c>
      <c r="C54" s="19"/>
      <c r="D54" s="19"/>
      <c r="E54" s="19"/>
      <c r="F54" s="19"/>
    </row>
    <row r="56" customFormat="false" ht="60" hidden="false" customHeight="true" outlineLevel="0" collapsed="false">
      <c r="B56" s="19" t="s">
        <v>46</v>
      </c>
      <c r="C56" s="19"/>
      <c r="D56" s="19"/>
      <c r="E56" s="19"/>
      <c r="F56" s="19"/>
    </row>
  </sheetData>
  <mergeCells count="8">
    <mergeCell ref="A8:E8"/>
    <mergeCell ref="A18:E18"/>
    <mergeCell ref="B28:F28"/>
    <mergeCell ref="B36:F36"/>
    <mergeCell ref="B38:F38"/>
    <mergeCell ref="B53:F53"/>
    <mergeCell ref="B54:F54"/>
    <mergeCell ref="B56:F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5"/>
    <col collapsed="false" customWidth="true" hidden="false" outlineLevel="0" max="3" min="3" style="0" width="3"/>
  </cols>
  <sheetData>
    <row r="2" customFormat="false" ht="19.5" hidden="false" customHeight="true" outlineLevel="0" collapsed="false">
      <c r="A2" s="23" t="s">
        <v>47</v>
      </c>
    </row>
    <row r="4" customFormat="false" ht="109.5" hidden="false" customHeight="true" outlineLevel="0" collapsed="false">
      <c r="B4" s="24" t="s">
        <v>48</v>
      </c>
    </row>
    <row r="6" customFormat="false" ht="19.5" hidden="false" customHeight="true" outlineLevel="0" collapsed="false">
      <c r="A6" s="23" t="s">
        <v>49</v>
      </c>
    </row>
    <row r="8" customFormat="false" ht="31.5" hidden="false" customHeight="true" outlineLevel="0" collapsed="false">
      <c r="B8" s="25" t="s">
        <v>50</v>
      </c>
    </row>
    <row r="9" customFormat="false" ht="31.5" hidden="false" customHeight="true" outlineLevel="0" collapsed="false">
      <c r="B9" s="25" t="s">
        <v>51</v>
      </c>
    </row>
    <row r="10" customFormat="false" ht="31.5" hidden="false" customHeight="true" outlineLevel="0" collapsed="false">
      <c r="B10" s="25" t="s">
        <v>52</v>
      </c>
    </row>
    <row r="11" customFormat="false" ht="31.5" hidden="false" customHeight="true" outlineLevel="0" collapsed="false">
      <c r="B11" s="25" t="s">
        <v>53</v>
      </c>
    </row>
    <row r="13" customFormat="false" ht="19.5" hidden="false" customHeight="true" outlineLevel="0" collapsed="false">
      <c r="A13" s="23" t="s">
        <v>54</v>
      </c>
    </row>
    <row r="15" customFormat="false" ht="31.5" hidden="false" customHeight="true" outlineLevel="0" collapsed="false">
      <c r="B15" s="25" t="s">
        <v>55</v>
      </c>
    </row>
    <row r="16" customFormat="false" ht="31.5" hidden="false" customHeight="true" outlineLevel="0" collapsed="false">
      <c r="B16" s="25" t="s">
        <v>56</v>
      </c>
    </row>
    <row r="17" customFormat="false" ht="31.5" hidden="false" customHeight="true" outlineLevel="0" collapsed="false">
      <c r="B17" s="25" t="s">
        <v>57</v>
      </c>
    </row>
    <row r="18" customFormat="false" ht="31.5" hidden="false" customHeight="true" outlineLevel="0" collapsed="false">
      <c r="B18" s="25" t="s">
        <v>58</v>
      </c>
    </row>
    <row r="19" customFormat="false" ht="31.5" hidden="false" customHeight="true" outlineLevel="0" collapsed="false">
      <c r="B19" s="25" t="s">
        <v>59</v>
      </c>
    </row>
    <row r="21" customFormat="false" ht="19.5" hidden="false" customHeight="true" outlineLevel="0" collapsed="false">
      <c r="A21" s="23" t="s">
        <v>60</v>
      </c>
    </row>
    <row r="23" customFormat="false" ht="39.75" hidden="false" customHeight="true" outlineLevel="0" collapsed="false">
      <c r="B23" s="25" t="s">
        <v>61</v>
      </c>
    </row>
    <row r="24" customFormat="false" ht="39.75" hidden="false" customHeight="true" outlineLevel="0" collapsed="false">
      <c r="B24" s="25" t="s">
        <v>62</v>
      </c>
    </row>
    <row r="25" customFormat="false" ht="39.75" hidden="false" customHeight="true" outlineLevel="0" collapsed="false">
      <c r="B25" s="25" t="s">
        <v>63</v>
      </c>
    </row>
    <row r="26" customFormat="false" ht="39.75" hidden="false" customHeight="true" outlineLevel="0" collapsed="false">
      <c r="B26" s="25"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7" min="3" style="0" width="13"/>
    <col collapsed="false" customWidth="true" hidden="false" outlineLevel="0" max="8" min="8" style="0" width="3"/>
  </cols>
  <sheetData>
    <row r="2" customFormat="false" ht="19.5" hidden="false" customHeight="true" outlineLevel="0" collapsed="false">
      <c r="A2" s="6" t="s">
        <v>65</v>
      </c>
      <c r="B2" s="6"/>
      <c r="C2" s="6"/>
      <c r="D2" s="6"/>
      <c r="E2" s="6"/>
      <c r="F2" s="6"/>
    </row>
    <row r="3" customFormat="false" ht="30" hidden="false" customHeight="true" outlineLevel="0" collapsed="false">
      <c r="B3" s="19" t="s">
        <v>66</v>
      </c>
      <c r="C3" s="19"/>
      <c r="D3" s="19"/>
      <c r="E3" s="19"/>
      <c r="F3" s="19"/>
      <c r="G3" s="19"/>
    </row>
    <row r="5" customFormat="false" ht="18" hidden="false" customHeight="true" outlineLevel="0" collapsed="false">
      <c r="B5" s="12" t="s">
        <v>67</v>
      </c>
      <c r="C5" s="12" t="s">
        <v>68</v>
      </c>
      <c r="D5" s="12" t="s">
        <v>69</v>
      </c>
      <c r="E5" s="12" t="s">
        <v>70</v>
      </c>
      <c r="F5" s="12" t="s">
        <v>71</v>
      </c>
      <c r="G5" s="12" t="s">
        <v>72</v>
      </c>
    </row>
    <row r="6" customFormat="false" ht="15" hidden="false" customHeight="false" outlineLevel="0" collapsed="false">
      <c r="B6" s="26" t="s">
        <v>73</v>
      </c>
      <c r="C6" s="27" t="n">
        <v>1646</v>
      </c>
      <c r="D6" s="27" t="n">
        <v>2700</v>
      </c>
      <c r="E6" s="27" t="n">
        <v>770</v>
      </c>
      <c r="F6" s="27" t="n">
        <v>694</v>
      </c>
      <c r="G6" s="27" t="n">
        <v>701</v>
      </c>
      <c r="H6" s="3" t="s">
        <v>74</v>
      </c>
    </row>
    <row r="7" customFormat="false" ht="15" hidden="false" customHeight="false" outlineLevel="0" collapsed="false">
      <c r="B7" s="28" t="s">
        <v>75</v>
      </c>
      <c r="C7" s="29" t="n">
        <v>15</v>
      </c>
      <c r="D7" s="29" t="n">
        <v>110</v>
      </c>
      <c r="E7" s="29" t="n">
        <v>37</v>
      </c>
      <c r="F7" s="29" t="n">
        <v>42</v>
      </c>
      <c r="G7" s="29" t="n">
        <v>33.3</v>
      </c>
      <c r="H7" s="3" t="s">
        <v>76</v>
      </c>
    </row>
    <row r="8" customFormat="false" ht="15" hidden="false" customHeight="false" outlineLevel="0" collapsed="false">
      <c r="B8" s="26" t="s">
        <v>77</v>
      </c>
      <c r="C8" s="30" t="n">
        <f aca="false">C6-C7</f>
        <v>1631</v>
      </c>
      <c r="D8" s="30" t="n">
        <f aca="false">D6-D7</f>
        <v>2590</v>
      </c>
      <c r="E8" s="30" t="n">
        <f aca="false">E6-E7</f>
        <v>733</v>
      </c>
      <c r="F8" s="30" t="n">
        <f aca="false">F6-F7</f>
        <v>652</v>
      </c>
      <c r="G8" s="27" t="n">
        <v>667.7</v>
      </c>
      <c r="H8" s="3" t="s">
        <v>78</v>
      </c>
    </row>
    <row r="9" customFormat="false" ht="15" hidden="false" customHeight="false" outlineLevel="0" collapsed="false">
      <c r="B9" s="28" t="s">
        <v>79</v>
      </c>
      <c r="C9" s="29" t="n">
        <v>1010</v>
      </c>
      <c r="D9" s="29" t="n">
        <v>1662</v>
      </c>
      <c r="E9" s="29" t="n">
        <v>461</v>
      </c>
      <c r="F9" s="29" t="n">
        <v>407</v>
      </c>
      <c r="G9" s="29" t="n">
        <v>410.4</v>
      </c>
      <c r="H9" s="3" t="s">
        <v>80</v>
      </c>
    </row>
    <row r="10" customFormat="false" ht="15" hidden="false" customHeight="false" outlineLevel="0" collapsed="false">
      <c r="B10" s="26" t="s">
        <v>81</v>
      </c>
      <c r="C10" s="30" t="n">
        <f aca="false">C6-C9</f>
        <v>636</v>
      </c>
      <c r="D10" s="30" t="n">
        <f aca="false">D6-D9</f>
        <v>1038</v>
      </c>
      <c r="E10" s="30" t="n">
        <f aca="false">E6-E9</f>
        <v>309</v>
      </c>
      <c r="F10" s="30" t="n">
        <f aca="false">F6-F9</f>
        <v>287</v>
      </c>
      <c r="G10" s="30" t="n">
        <f aca="false">G6-G9</f>
        <v>290.6</v>
      </c>
      <c r="H10" s="3" t="s">
        <v>82</v>
      </c>
    </row>
    <row r="11" customFormat="false" ht="15" hidden="false" customHeight="false" outlineLevel="0" collapsed="false">
      <c r="B11" s="28" t="s">
        <v>83</v>
      </c>
      <c r="C11" s="28" t="n">
        <f aca="false">IFERROR(C10/C6,"-")</f>
        <v>0.386391251518834</v>
      </c>
      <c r="D11" s="28" t="n">
        <f aca="false">IFERROR(D10/D6,"-")</f>
        <v>0.384444444444444</v>
      </c>
      <c r="E11" s="28" t="n">
        <f aca="false">IFERROR(E10/E6,"-")</f>
        <v>0.401298701298701</v>
      </c>
      <c r="F11" s="28" t="n">
        <f aca="false">IFERROR(F10/F6,"-")</f>
        <v>0.413544668587896</v>
      </c>
      <c r="G11" s="28" t="n">
        <f aca="false">IFERROR(G10/G6,"-")</f>
        <v>0.414550641940086</v>
      </c>
      <c r="H11" s="3" t="s">
        <v>84</v>
      </c>
    </row>
    <row r="12" customFormat="false" ht="15" hidden="false" customHeight="false" outlineLevel="0" collapsed="false">
      <c r="B12" s="26" t="s">
        <v>85</v>
      </c>
      <c r="C12" s="26" t="n">
        <f aca="false">IFERROR(C9/C8,"-")</f>
        <v>0.619251992642551</v>
      </c>
      <c r="D12" s="26" t="n">
        <f aca="false">IFERROR(D9/D8,"-")</f>
        <v>0.641698841698842</v>
      </c>
      <c r="E12" s="26" t="n">
        <f aca="false">IFERROR(E9/E8,"-")</f>
        <v>0.628922237380628</v>
      </c>
      <c r="F12" s="26" t="n">
        <f aca="false">IFERROR(F9/F8,"-")</f>
        <v>0.624233128834356</v>
      </c>
      <c r="G12" s="26" t="n">
        <f aca="false">IFERROR(G9/G8,"-")</f>
        <v>0.61464729669013</v>
      </c>
      <c r="H12" s="3" t="s">
        <v>86</v>
      </c>
    </row>
    <row r="13" customFormat="false" ht="15" hidden="false" customHeight="false" outlineLevel="0" collapsed="false">
      <c r="B13" s="28" t="s">
        <v>87</v>
      </c>
      <c r="C13" s="29" t="n">
        <v>157</v>
      </c>
      <c r="D13" s="29" t="n">
        <v>-70</v>
      </c>
      <c r="E13" s="29" t="n">
        <v>133</v>
      </c>
      <c r="F13" s="29" t="n">
        <v>55</v>
      </c>
      <c r="G13" s="29" t="n">
        <v>48</v>
      </c>
      <c r="H13" s="3" t="s">
        <v>88</v>
      </c>
    </row>
    <row r="14" customFormat="false" ht="15" hidden="false" customHeight="false" outlineLevel="0" collapsed="false">
      <c r="B14" s="26" t="s">
        <v>89</v>
      </c>
      <c r="C14" s="27"/>
      <c r="D14" s="27" t="n">
        <v>582</v>
      </c>
      <c r="E14" s="27" t="n">
        <v>167</v>
      </c>
      <c r="F14" s="27" t="n">
        <v>151</v>
      </c>
      <c r="G14" s="27" t="n">
        <v>143</v>
      </c>
    </row>
    <row r="15" customFormat="false" ht="15" hidden="false" customHeight="false" outlineLevel="0" collapsed="false">
      <c r="B15" s="28" t="s">
        <v>90</v>
      </c>
      <c r="C15" s="28" t="str">
        <f aca="false">IF(ISBLANK(C14),"n/a",IFERROR(C14/C6,"-"))</f>
        <v>n/a</v>
      </c>
      <c r="D15" s="28" t="n">
        <f aca="false">IF(ISBLANK(D14),"n/a",IFERROR(D14/D6,"-"))</f>
        <v>0.215555555555556</v>
      </c>
      <c r="E15" s="28" t="n">
        <f aca="false">IF(ISBLANK(E14),"n/a",IFERROR(E14/E6,"-"))</f>
        <v>0.216883116883117</v>
      </c>
      <c r="F15" s="28" t="n">
        <f aca="false">IF(ISBLANK(F14),"n/a",IFERROR(F14/F6,"-"))</f>
        <v>0.217579250720461</v>
      </c>
      <c r="G15" s="28" t="n">
        <f aca="false">IF(ISBLANK(G14),"n/a",IFERROR(G14/G6,"-"))</f>
        <v>0.203994293865906</v>
      </c>
    </row>
    <row r="16" customFormat="false" ht="15" hidden="false" customHeight="false" outlineLevel="0" collapsed="false">
      <c r="B16" s="26" t="s">
        <v>91</v>
      </c>
      <c r="C16" s="27"/>
      <c r="D16" s="27"/>
      <c r="E16" s="27"/>
      <c r="F16" s="27"/>
      <c r="G16" s="27" t="n">
        <v>53.6</v>
      </c>
      <c r="H16" s="3" t="s">
        <v>92</v>
      </c>
    </row>
    <row r="17" customFormat="false" ht="15" hidden="false" customHeight="false" outlineLevel="0" collapsed="false">
      <c r="B17" s="28" t="s">
        <v>93</v>
      </c>
      <c r="C17" s="31"/>
      <c r="D17" s="31"/>
      <c r="E17" s="31"/>
      <c r="F17" s="31" t="n">
        <v>267.9</v>
      </c>
      <c r="G17" s="31" t="n">
        <v>268.6</v>
      </c>
      <c r="H17" s="3" t="s">
        <v>94</v>
      </c>
    </row>
    <row r="18" customFormat="false" ht="15" hidden="false" customHeight="false" outlineLevel="0" collapsed="false">
      <c r="B18" s="32"/>
      <c r="C18" s="32"/>
      <c r="D18" s="32"/>
      <c r="E18" s="32"/>
      <c r="F18" s="32"/>
      <c r="G18" s="32"/>
    </row>
    <row r="19" customFormat="false" ht="15" hidden="false" customHeight="false" outlineLevel="0" collapsed="false">
      <c r="B19" s="28" t="s">
        <v>95</v>
      </c>
      <c r="C19" s="33" t="n">
        <v>43.9</v>
      </c>
      <c r="D19" s="33" t="n">
        <v>75.3</v>
      </c>
      <c r="E19" s="33" t="n">
        <v>75.3</v>
      </c>
      <c r="F19" s="33" t="n">
        <v>77</v>
      </c>
      <c r="G19" s="33" t="n">
        <v>73.3</v>
      </c>
      <c r="H19" s="3" t="s">
        <v>96</v>
      </c>
    </row>
    <row r="20" customFormat="false" ht="15" hidden="false" customHeight="false" outlineLevel="0" collapsed="false">
      <c r="B20" s="26" t="s">
        <v>97</v>
      </c>
      <c r="C20" s="34"/>
      <c r="D20" s="34" t="n">
        <v>0.72</v>
      </c>
      <c r="E20" s="34" t="n">
        <v>0.72</v>
      </c>
      <c r="F20" s="34" t="n">
        <v>0.28</v>
      </c>
      <c r="G20" s="34" t="n">
        <v>0.19</v>
      </c>
    </row>
    <row r="21" customFormat="false" ht="15" hidden="false" customHeight="false" outlineLevel="0" collapsed="false">
      <c r="B21" s="28" t="s">
        <v>98</v>
      </c>
      <c r="C21" s="35"/>
      <c r="D21" s="35" t="n">
        <v>0.64</v>
      </c>
      <c r="E21" s="35" t="n">
        <v>0.77</v>
      </c>
      <c r="F21" s="35" t="n">
        <v>0.2</v>
      </c>
      <c r="G21" s="35" t="n">
        <v>0.07</v>
      </c>
    </row>
    <row r="22" customFormat="false" ht="15" hidden="false" customHeight="false" outlineLevel="0" collapsed="false">
      <c r="B22" s="32"/>
      <c r="C22" s="32"/>
      <c r="D22" s="32"/>
      <c r="E22" s="32"/>
      <c r="F22" s="32"/>
      <c r="G22" s="32"/>
    </row>
    <row r="23" customFormat="false" ht="15" hidden="false" customHeight="false" outlineLevel="0" collapsed="false">
      <c r="B23" s="28" t="s">
        <v>99</v>
      </c>
      <c r="C23" s="36"/>
      <c r="D23" s="36"/>
      <c r="E23" s="28" t="n">
        <f aca="false">IFERROR(E8*4/E19,"-")</f>
        <v>38.937583001328</v>
      </c>
      <c r="F23" s="28" t="n">
        <f aca="false">IFERROR(F8*4/F19,"-")</f>
        <v>33.8701298701299</v>
      </c>
      <c r="G23" s="28" t="n">
        <f aca="false">IFERROR(G8*4/G19,"-")</f>
        <v>36.4365620736699</v>
      </c>
      <c r="H23" s="3" t="s">
        <v>100</v>
      </c>
    </row>
    <row r="25" customFormat="false" ht="60" hidden="false" customHeight="true" outlineLevel="0" collapsed="false">
      <c r="B25" s="19" t="s">
        <v>101</v>
      </c>
      <c r="C25" s="19"/>
      <c r="D25" s="19"/>
      <c r="E25" s="19"/>
      <c r="F25" s="19"/>
      <c r="G25" s="19"/>
    </row>
    <row r="27" customFormat="false" ht="49.5" hidden="false" customHeight="true" outlineLevel="0" collapsed="false">
      <c r="B27" s="19" t="s">
        <v>102</v>
      </c>
      <c r="C27" s="19"/>
      <c r="D27" s="19"/>
      <c r="E27" s="19"/>
      <c r="F27" s="19"/>
      <c r="G27" s="19"/>
    </row>
    <row r="30" customFormat="false" ht="19.5" hidden="false" customHeight="true" outlineLevel="0" collapsed="false">
      <c r="A30" s="6" t="s">
        <v>103</v>
      </c>
      <c r="B30" s="6"/>
      <c r="C30" s="6"/>
      <c r="D30" s="6"/>
      <c r="E30" s="6"/>
      <c r="F30" s="6"/>
    </row>
    <row r="31" customFormat="false" ht="57.75" hidden="false" customHeight="true" outlineLevel="0" collapsed="false">
      <c r="B31" s="19" t="s">
        <v>104</v>
      </c>
      <c r="C31" s="19"/>
      <c r="D31" s="19"/>
      <c r="E31" s="19"/>
      <c r="F31" s="19"/>
      <c r="G31" s="19"/>
    </row>
    <row r="34" customFormat="false" ht="15" hidden="false" customHeight="false" outlineLevel="0" collapsed="false">
      <c r="B34" s="12" t="s">
        <v>67</v>
      </c>
      <c r="C34" s="12" t="s">
        <v>105</v>
      </c>
      <c r="D34" s="12" t="s">
        <v>106</v>
      </c>
    </row>
    <row r="35" customFormat="false" ht="15" hidden="false" customHeight="false" outlineLevel="0" collapsed="false">
      <c r="B35" s="26" t="s">
        <v>107</v>
      </c>
      <c r="C35" s="37" t="n">
        <v>1730.126</v>
      </c>
      <c r="D35" s="38" t="s">
        <v>108</v>
      </c>
    </row>
    <row r="36" customFormat="false" ht="60" hidden="false" customHeight="true" outlineLevel="0" collapsed="false">
      <c r="B36" s="26" t="s">
        <v>109</v>
      </c>
      <c r="C36" s="37" t="n">
        <v>2507.79</v>
      </c>
      <c r="D36" s="24" t="s">
        <v>110</v>
      </c>
    </row>
    <row r="37" customFormat="false" ht="54.75" hidden="false" customHeight="true" outlineLevel="0" collapsed="false">
      <c r="B37" s="26" t="s">
        <v>111</v>
      </c>
      <c r="C37" s="37" t="n">
        <v>72927.544</v>
      </c>
      <c r="D37" s="24" t="s">
        <v>112</v>
      </c>
    </row>
    <row r="38" customFormat="false" ht="15" hidden="false" customHeight="false" outlineLevel="0" collapsed="false">
      <c r="B38" s="39" t="s">
        <v>113</v>
      </c>
      <c r="C38" s="40" t="n">
        <f aca="false">C35+C36+C37</f>
        <v>77165.46</v>
      </c>
      <c r="D38" s="38" t="s">
        <v>114</v>
      </c>
    </row>
    <row r="40" customFormat="false" ht="15" hidden="false" customHeight="false" outlineLevel="0" collapsed="false">
      <c r="B40" s="26" t="s">
        <v>115</v>
      </c>
      <c r="C40" s="37" t="n">
        <v>727.941</v>
      </c>
      <c r="D40" s="38" t="s">
        <v>116</v>
      </c>
    </row>
    <row r="41" customFormat="false" ht="15" hidden="false" customHeight="false" outlineLevel="0" collapsed="false">
      <c r="B41" s="26" t="s">
        <v>117</v>
      </c>
      <c r="C41" s="37" t="n">
        <v>0</v>
      </c>
      <c r="D41" s="38" t="s">
        <v>118</v>
      </c>
    </row>
    <row r="42" customFormat="false" ht="15" hidden="false" customHeight="false" outlineLevel="0" collapsed="false">
      <c r="B42" s="26" t="s">
        <v>119</v>
      </c>
      <c r="C42" s="37" t="n">
        <v>72927.544</v>
      </c>
      <c r="D42" s="38" t="s">
        <v>120</v>
      </c>
    </row>
    <row r="43" customFormat="false" ht="15" hidden="false" customHeight="false" outlineLevel="0" collapsed="false">
      <c r="B43" s="39" t="s">
        <v>121</v>
      </c>
      <c r="C43" s="40" t="n">
        <f aca="false">C40+C42</f>
        <v>73655.485</v>
      </c>
      <c r="D43" s="38" t="s">
        <v>122</v>
      </c>
    </row>
    <row r="45" customFormat="false" ht="15" hidden="false" customHeight="false" outlineLevel="0" collapsed="false">
      <c r="B45" s="41" t="s">
        <v>123</v>
      </c>
      <c r="C45" s="42" t="n">
        <v>3509.975</v>
      </c>
      <c r="D45" s="38" t="s">
        <v>124</v>
      </c>
    </row>
    <row r="47" customFormat="false" ht="15" hidden="false" customHeight="false" outlineLevel="0" collapsed="false">
      <c r="B47" s="26" t="s">
        <v>125</v>
      </c>
      <c r="C47" s="37" t="n">
        <v>56.663</v>
      </c>
    </row>
    <row r="48" customFormat="false" ht="15" hidden="false" customHeight="false" outlineLevel="0" collapsed="false">
      <c r="B48" s="26" t="s">
        <v>126</v>
      </c>
      <c r="C48" s="37" t="n">
        <v>105.435</v>
      </c>
    </row>
    <row r="49" customFormat="false" ht="15" hidden="false" customHeight="false" outlineLevel="0" collapsed="false">
      <c r="B49" s="26" t="s">
        <v>127</v>
      </c>
      <c r="C49" s="37" t="n">
        <v>538.505</v>
      </c>
    </row>
    <row r="50" customFormat="false" ht="27.75" hidden="false" customHeight="true" outlineLevel="0" collapsed="false">
      <c r="B50" s="26" t="s">
        <v>128</v>
      </c>
      <c r="C50" s="37" t="n">
        <v>10.389</v>
      </c>
      <c r="D50" s="24" t="s">
        <v>129</v>
      </c>
    </row>
    <row r="52" customFormat="false" ht="48" hidden="false" customHeight="true" outlineLevel="0" collapsed="false">
      <c r="B52" s="19" t="s">
        <v>130</v>
      </c>
      <c r="C52" s="19"/>
      <c r="D52" s="19"/>
      <c r="E52" s="19"/>
      <c r="F52" s="19"/>
      <c r="G52" s="19"/>
    </row>
  </sheetData>
  <mergeCells count="7">
    <mergeCell ref="A2:F2"/>
    <mergeCell ref="B3:G3"/>
    <mergeCell ref="B25:G25"/>
    <mergeCell ref="B27:G27"/>
    <mergeCell ref="A30:F30"/>
    <mergeCell ref="B31:G31"/>
    <mergeCell ref="B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5" min="3" style="0" width="13"/>
    <col collapsed="false" customWidth="true" hidden="false" outlineLevel="0" max="6" min="6" style="0" width="3"/>
  </cols>
  <sheetData>
    <row r="2" customFormat="false" ht="19.5" hidden="false" customHeight="true" outlineLevel="0" collapsed="false">
      <c r="A2" s="6" t="s">
        <v>131</v>
      </c>
      <c r="B2" s="6"/>
      <c r="C2" s="6"/>
      <c r="D2" s="6"/>
      <c r="E2" s="6"/>
    </row>
    <row r="3" customFormat="false" ht="48" hidden="false" customHeight="true" outlineLevel="0" collapsed="false">
      <c r="B3" s="19" t="s">
        <v>132</v>
      </c>
      <c r="C3" s="19"/>
      <c r="D3" s="19"/>
      <c r="E3" s="19"/>
      <c r="F3" s="19"/>
    </row>
    <row r="6" customFormat="false" ht="15" hidden="false" customHeight="false" outlineLevel="0" collapsed="false">
      <c r="B6" s="43" t="s">
        <v>133</v>
      </c>
      <c r="C6" s="12" t="s">
        <v>134</v>
      </c>
      <c r="D6" s="12" t="s">
        <v>135</v>
      </c>
      <c r="E6" s="12" t="s">
        <v>136</v>
      </c>
    </row>
    <row r="7" customFormat="false" ht="15" hidden="false" customHeight="false" outlineLevel="0" collapsed="false">
      <c r="B7" s="4" t="s">
        <v>137</v>
      </c>
    </row>
    <row r="8" customFormat="false" ht="15" hidden="false" customHeight="false" outlineLevel="0" collapsed="false">
      <c r="B8" s="44" t="s">
        <v>138</v>
      </c>
      <c r="C8" s="45" t="n">
        <v>0.1</v>
      </c>
      <c r="D8" s="45" t="n">
        <v>0.08</v>
      </c>
      <c r="E8" s="45" t="n">
        <v>0.06</v>
      </c>
    </row>
    <row r="9" customFormat="false" ht="15" hidden="false" customHeight="false" outlineLevel="0" collapsed="false">
      <c r="B9" s="46" t="s">
        <v>139</v>
      </c>
      <c r="C9" s="45" t="n">
        <v>0.2</v>
      </c>
      <c r="D9" s="45" t="n">
        <v>0.18</v>
      </c>
      <c r="E9" s="45" t="n">
        <v>0.16</v>
      </c>
    </row>
    <row r="10" customFormat="false" ht="15" hidden="false" customHeight="false" outlineLevel="0" collapsed="false">
      <c r="B10" s="47" t="s">
        <v>140</v>
      </c>
      <c r="C10" s="45" t="n">
        <v>0.35</v>
      </c>
      <c r="D10" s="45" t="n">
        <v>0.32</v>
      </c>
      <c r="E10" s="45" t="n">
        <v>0.3</v>
      </c>
    </row>
    <row r="12" customFormat="false" ht="15" hidden="false" customHeight="false" outlineLevel="0" collapsed="false">
      <c r="B12" s="4" t="s">
        <v>141</v>
      </c>
    </row>
    <row r="13" customFormat="false" ht="15" hidden="false" customHeight="false" outlineLevel="0" collapsed="false">
      <c r="B13" s="44" t="s">
        <v>138</v>
      </c>
      <c r="C13" s="45" t="n">
        <v>0.033</v>
      </c>
      <c r="D13" s="45" t="n">
        <v>0.029</v>
      </c>
      <c r="E13" s="45" t="n">
        <v>0.025</v>
      </c>
    </row>
    <row r="14" customFormat="false" ht="15" hidden="false" customHeight="false" outlineLevel="0" collapsed="false">
      <c r="B14" s="46" t="s">
        <v>139</v>
      </c>
      <c r="C14" s="45" t="n">
        <v>0.035</v>
      </c>
      <c r="D14" s="45" t="n">
        <v>0.032</v>
      </c>
      <c r="E14" s="45" t="n">
        <v>0.029</v>
      </c>
    </row>
    <row r="15" customFormat="false" ht="15" hidden="false" customHeight="false" outlineLevel="0" collapsed="false">
      <c r="B15" s="47" t="s">
        <v>140</v>
      </c>
      <c r="C15" s="45" t="n">
        <v>0.036</v>
      </c>
      <c r="D15" s="45" t="n">
        <v>0.035</v>
      </c>
      <c r="E15" s="45" t="n">
        <v>0.033</v>
      </c>
    </row>
    <row r="17" customFormat="false" ht="15" hidden="false" customHeight="false" outlineLevel="0" collapsed="false">
      <c r="B17" s="4" t="s">
        <v>142</v>
      </c>
    </row>
    <row r="18" customFormat="false" ht="15" hidden="false" customHeight="false" outlineLevel="0" collapsed="false">
      <c r="B18" s="44" t="s">
        <v>138</v>
      </c>
      <c r="C18" s="45" t="n">
        <v>0.4</v>
      </c>
      <c r="D18" s="45" t="n">
        <v>0.39</v>
      </c>
      <c r="E18" s="45" t="n">
        <v>0.38</v>
      </c>
    </row>
    <row r="19" customFormat="false" ht="15" hidden="false" customHeight="false" outlineLevel="0" collapsed="false">
      <c r="B19" s="46" t="s">
        <v>139</v>
      </c>
      <c r="C19" s="45" t="n">
        <v>0.425</v>
      </c>
      <c r="D19" s="45" t="n">
        <v>0.425</v>
      </c>
      <c r="E19" s="45" t="n">
        <v>0.425</v>
      </c>
    </row>
    <row r="20" customFormat="false" ht="15" hidden="false" customHeight="false" outlineLevel="0" collapsed="false">
      <c r="B20" s="47" t="s">
        <v>140</v>
      </c>
      <c r="C20" s="45" t="n">
        <v>0.45</v>
      </c>
      <c r="D20" s="45" t="n">
        <v>0.455</v>
      </c>
      <c r="E20" s="45" t="n">
        <v>0.46</v>
      </c>
    </row>
    <row r="22" customFormat="false" ht="61.5" hidden="false" customHeight="true" outlineLevel="0" collapsed="false">
      <c r="B22" s="19" t="s">
        <v>143</v>
      </c>
      <c r="C22" s="19"/>
      <c r="D22" s="19"/>
      <c r="E22" s="19"/>
      <c r="F22" s="19"/>
    </row>
    <row r="26" customFormat="false" ht="15" hidden="false" customHeight="false" outlineLevel="0" collapsed="false">
      <c r="B26" s="4" t="s">
        <v>144</v>
      </c>
    </row>
    <row r="27" customFormat="false" ht="15" hidden="false" customHeight="false" outlineLevel="0" collapsed="false">
      <c r="B27" s="44" t="s">
        <v>138</v>
      </c>
      <c r="C27" s="48" t="n">
        <v>180</v>
      </c>
      <c r="D27" s="48" t="n">
        <v>190</v>
      </c>
      <c r="E27" s="48" t="n">
        <v>205</v>
      </c>
    </row>
    <row r="28" customFormat="false" ht="15" hidden="false" customHeight="false" outlineLevel="0" collapsed="false">
      <c r="B28" s="46" t="s">
        <v>139</v>
      </c>
      <c r="C28" s="48" t="n">
        <v>180</v>
      </c>
      <c r="D28" s="48" t="n">
        <v>230</v>
      </c>
      <c r="E28" s="48" t="n">
        <v>300</v>
      </c>
    </row>
    <row r="29" customFormat="false" ht="15" hidden="false" customHeight="false" outlineLevel="0" collapsed="false">
      <c r="B29" s="47" t="s">
        <v>140</v>
      </c>
      <c r="C29" s="48" t="n">
        <v>180</v>
      </c>
      <c r="D29" s="48" t="n">
        <v>290</v>
      </c>
      <c r="E29" s="48" t="n">
        <v>430</v>
      </c>
    </row>
    <row r="31" customFormat="false" ht="15" hidden="false" customHeight="false" outlineLevel="0" collapsed="false">
      <c r="B31" s="4" t="s">
        <v>145</v>
      </c>
    </row>
    <row r="32" customFormat="false" ht="15" hidden="false" customHeight="false" outlineLevel="0" collapsed="false">
      <c r="B32" s="44" t="s">
        <v>138</v>
      </c>
      <c r="C32" s="48" t="n">
        <v>140</v>
      </c>
      <c r="D32" s="48" t="n">
        <v>162</v>
      </c>
      <c r="E32" s="48" t="n">
        <v>182</v>
      </c>
    </row>
    <row r="33" customFormat="false" ht="15" hidden="false" customHeight="false" outlineLevel="0" collapsed="false">
      <c r="B33" s="46" t="s">
        <v>139</v>
      </c>
      <c r="C33" s="48" t="n">
        <v>140</v>
      </c>
      <c r="D33" s="48" t="n">
        <v>170</v>
      </c>
      <c r="E33" s="48" t="n">
        <v>200</v>
      </c>
    </row>
    <row r="34" customFormat="false" ht="15" hidden="false" customHeight="false" outlineLevel="0" collapsed="false">
      <c r="B34" s="47" t="s">
        <v>140</v>
      </c>
      <c r="C34" s="48" t="n">
        <v>140</v>
      </c>
      <c r="D34" s="48" t="n">
        <v>174</v>
      </c>
      <c r="E34" s="48" t="n">
        <v>243</v>
      </c>
    </row>
    <row r="36" customFormat="false" ht="15" hidden="false" customHeight="false" outlineLevel="0" collapsed="false">
      <c r="B36" s="3" t="s">
        <v>146</v>
      </c>
      <c r="C36" s="49" t="n">
        <f aca="false">IFERROR((E27/C27)^(1/2)-1,"-")</f>
        <v>0.0671873729054748</v>
      </c>
      <c r="D36" s="50" t="n">
        <f aca="false">IFERROR((E28/C28)^(1/2)-1,"-")</f>
        <v>0.290994448735806</v>
      </c>
      <c r="E36" s="51" t="n">
        <f aca="false">IFERROR((E29/C29)^(1/2)-1,"-")</f>
        <v>0.545603082582617</v>
      </c>
    </row>
    <row r="37" customFormat="false" ht="15" hidden="false" customHeight="false" outlineLevel="0" collapsed="false">
      <c r="B37" s="3" t="s">
        <v>147</v>
      </c>
      <c r="C37" s="49" t="n">
        <f aca="false">IFERROR((E32/C32)^(1/2)-1,"-")</f>
        <v>0.140175425099138</v>
      </c>
      <c r="D37" s="50" t="n">
        <f aca="false">IFERROR((E33/C33)^(1/2)-1,"-")</f>
        <v>0.195228609334394</v>
      </c>
      <c r="E37" s="51" t="n">
        <f aca="false">IFERROR((E34/C34)^(1/2)-1,"-")</f>
        <v>0.31746509848052</v>
      </c>
    </row>
    <row r="38" customFormat="false" ht="67.5" hidden="false" customHeight="true" outlineLevel="0" collapsed="false">
      <c r="B38" s="19" t="s">
        <v>148</v>
      </c>
      <c r="C38" s="19"/>
      <c r="D38" s="19"/>
      <c r="E38" s="19"/>
      <c r="F38" s="19"/>
    </row>
    <row r="41" customFormat="false" ht="15" hidden="false" customHeight="false" outlineLevel="0" collapsed="false">
      <c r="B41" s="4" t="s">
        <v>149</v>
      </c>
    </row>
    <row r="42" customFormat="false" ht="15" hidden="false" customHeight="false" outlineLevel="0" collapsed="false">
      <c r="B42" s="44" t="s">
        <v>138</v>
      </c>
      <c r="C42" s="48" t="n">
        <v>577.5</v>
      </c>
      <c r="D42" s="48" t="n">
        <v>646.8</v>
      </c>
      <c r="E42" s="48" t="n">
        <v>724.4</v>
      </c>
    </row>
    <row r="43" customFormat="false" ht="15" hidden="false" customHeight="false" outlineLevel="0" collapsed="false">
      <c r="B43" s="46" t="s">
        <v>139</v>
      </c>
      <c r="C43" s="48" t="n">
        <v>577.5</v>
      </c>
      <c r="D43" s="48" t="n">
        <v>623.7</v>
      </c>
      <c r="E43" s="48" t="n">
        <v>673.6</v>
      </c>
    </row>
    <row r="44" customFormat="false" ht="15" hidden="false" customHeight="false" outlineLevel="0" collapsed="false">
      <c r="B44" s="47" t="s">
        <v>140</v>
      </c>
      <c r="C44" s="48" t="n">
        <v>577.5</v>
      </c>
      <c r="D44" s="48" t="n">
        <v>606.4</v>
      </c>
      <c r="E44" s="48" t="n">
        <v>636.7</v>
      </c>
    </row>
    <row r="46" customFormat="false" ht="15" hidden="false" customHeight="false" outlineLevel="0" collapsed="false">
      <c r="B46" s="4" t="s">
        <v>150</v>
      </c>
    </row>
    <row r="47" customFormat="false" ht="15" hidden="false" customHeight="false" outlineLevel="0" collapsed="false">
      <c r="B47" s="44" t="s">
        <v>138</v>
      </c>
      <c r="C47" s="45" t="n">
        <v>0.03</v>
      </c>
      <c r="D47" s="45" t="n">
        <v>0.03</v>
      </c>
      <c r="E47" s="45" t="n">
        <v>0.03</v>
      </c>
    </row>
    <row r="48" customFormat="false" ht="15" hidden="false" customHeight="false" outlineLevel="0" collapsed="false">
      <c r="B48" s="46" t="s">
        <v>139</v>
      </c>
      <c r="C48" s="45" t="n">
        <v>0.02</v>
      </c>
      <c r="D48" s="45" t="n">
        <v>0.02</v>
      </c>
      <c r="E48" s="45" t="n">
        <v>0.02</v>
      </c>
    </row>
    <row r="49" customFormat="false" ht="15" hidden="false" customHeight="false" outlineLevel="0" collapsed="false">
      <c r="B49" s="47" t="s">
        <v>140</v>
      </c>
      <c r="C49" s="45" t="n">
        <v>0.01</v>
      </c>
      <c r="D49" s="45" t="n">
        <v>0.01</v>
      </c>
      <c r="E49" s="45" t="n">
        <v>0.01</v>
      </c>
    </row>
    <row r="51" customFormat="false" ht="15" hidden="false" customHeight="false" outlineLevel="0" collapsed="false">
      <c r="B51" s="4" t="s">
        <v>151</v>
      </c>
    </row>
    <row r="52" customFormat="false" ht="15" hidden="false" customHeight="false" outlineLevel="0" collapsed="false">
      <c r="B52" s="44" t="s">
        <v>138</v>
      </c>
      <c r="C52" s="45" t="n">
        <v>0.085</v>
      </c>
      <c r="D52" s="45" t="n">
        <v>0.085</v>
      </c>
      <c r="E52" s="45" t="n">
        <v>0.085</v>
      </c>
    </row>
    <row r="53" customFormat="false" ht="15" hidden="false" customHeight="false" outlineLevel="0" collapsed="false">
      <c r="B53" s="46" t="s">
        <v>139</v>
      </c>
      <c r="C53" s="45" t="n">
        <v>0.075</v>
      </c>
      <c r="D53" s="45" t="n">
        <v>0.07</v>
      </c>
      <c r="E53" s="45" t="n">
        <v>0.065</v>
      </c>
    </row>
    <row r="54" customFormat="false" ht="15" hidden="false" customHeight="false" outlineLevel="0" collapsed="false">
      <c r="B54" s="47" t="s">
        <v>140</v>
      </c>
      <c r="C54" s="45" t="n">
        <v>0.07</v>
      </c>
      <c r="D54" s="45" t="n">
        <v>0.06</v>
      </c>
      <c r="E54" s="45" t="n">
        <v>0.05</v>
      </c>
    </row>
    <row r="56" customFormat="false" ht="43.5" hidden="false" customHeight="true" outlineLevel="0" collapsed="false">
      <c r="B56" s="19" t="s">
        <v>152</v>
      </c>
      <c r="C56" s="19"/>
      <c r="D56" s="19"/>
      <c r="E56" s="19"/>
    </row>
    <row r="58" customFormat="false" ht="15" hidden="false" customHeight="false" outlineLevel="0" collapsed="false">
      <c r="B58" s="4" t="s">
        <v>153</v>
      </c>
    </row>
    <row r="59" customFormat="false" ht="15" hidden="false" customHeight="false" outlineLevel="0" collapsed="false">
      <c r="B59" s="44" t="s">
        <v>138</v>
      </c>
      <c r="C59" s="45" t="n">
        <v>0.04</v>
      </c>
      <c r="D59" s="45" t="n">
        <v>0.042</v>
      </c>
      <c r="E59" s="45" t="n">
        <v>0.043</v>
      </c>
    </row>
    <row r="60" customFormat="false" ht="15" hidden="false" customHeight="false" outlineLevel="0" collapsed="false">
      <c r="B60" s="46" t="s">
        <v>139</v>
      </c>
      <c r="C60" s="45" t="n">
        <v>0.04</v>
      </c>
      <c r="D60" s="45" t="n">
        <v>0.043</v>
      </c>
      <c r="E60" s="45" t="n">
        <v>0.045</v>
      </c>
    </row>
    <row r="61" customFormat="false" ht="15" hidden="false" customHeight="false" outlineLevel="0" collapsed="false">
      <c r="B61" s="47" t="s">
        <v>140</v>
      </c>
      <c r="C61" s="45" t="n">
        <v>0.04</v>
      </c>
      <c r="D61" s="45" t="n">
        <v>0.045</v>
      </c>
      <c r="E61" s="45" t="n">
        <v>0.05</v>
      </c>
    </row>
    <row r="63" customFormat="false" ht="33.75" hidden="false" customHeight="true" outlineLevel="0" collapsed="false">
      <c r="B63" s="19" t="s">
        <v>154</v>
      </c>
      <c r="C63" s="19"/>
      <c r="D63" s="19"/>
      <c r="E63" s="19"/>
    </row>
    <row r="65" customFormat="false" ht="15" hidden="false" customHeight="false" outlineLevel="0" collapsed="false">
      <c r="B65" s="4" t="s">
        <v>155</v>
      </c>
    </row>
    <row r="66" customFormat="false" ht="15" hidden="false" customHeight="false" outlineLevel="0" collapsed="false">
      <c r="B66" s="44" t="s">
        <v>138</v>
      </c>
      <c r="C66" s="45" t="n">
        <v>0.008</v>
      </c>
      <c r="D66" s="45" t="n">
        <v>0.008</v>
      </c>
      <c r="E66" s="45" t="n">
        <v>0.008</v>
      </c>
    </row>
    <row r="67" customFormat="false" ht="15" hidden="false" customHeight="false" outlineLevel="0" collapsed="false">
      <c r="B67" s="46" t="s">
        <v>139</v>
      </c>
      <c r="C67" s="45" t="n">
        <v>0.009</v>
      </c>
      <c r="D67" s="45" t="n">
        <v>0.009</v>
      </c>
      <c r="E67" s="45" t="n">
        <v>0.01</v>
      </c>
    </row>
    <row r="68" customFormat="false" ht="15" hidden="false" customHeight="false" outlineLevel="0" collapsed="false">
      <c r="B68" s="47" t="s">
        <v>140</v>
      </c>
      <c r="C68" s="45" t="n">
        <v>0.01</v>
      </c>
      <c r="D68" s="45" t="n">
        <v>0.012</v>
      </c>
      <c r="E68" s="45" t="n">
        <v>0.014</v>
      </c>
    </row>
    <row r="70" customFormat="false" ht="33.75" hidden="false" customHeight="true" outlineLevel="0" collapsed="false">
      <c r="B70" s="19" t="s">
        <v>156</v>
      </c>
      <c r="C70" s="19"/>
      <c r="D70" s="19"/>
      <c r="E70" s="19"/>
    </row>
    <row r="72" customFormat="false" ht="19.5" hidden="false" customHeight="true" outlineLevel="0" collapsed="false">
      <c r="A72" s="6" t="s">
        <v>157</v>
      </c>
      <c r="B72" s="6"/>
      <c r="C72" s="6"/>
      <c r="D72" s="6"/>
      <c r="E72" s="6"/>
    </row>
    <row r="73" customFormat="false" ht="15" hidden="false" customHeight="false" outlineLevel="0" collapsed="false">
      <c r="B73" s="7" t="s">
        <v>158</v>
      </c>
      <c r="C73" s="45" t="n">
        <v>0.21</v>
      </c>
      <c r="E73" s="3" t="s">
        <v>159</v>
      </c>
    </row>
    <row r="74" customFormat="false" ht="43.5" hidden="false" customHeight="true" outlineLevel="0" collapsed="false">
      <c r="B74" s="7" t="s">
        <v>160</v>
      </c>
      <c r="C74" s="45" t="n">
        <v>0.035</v>
      </c>
      <c r="E74" s="24" t="s">
        <v>161</v>
      </c>
    </row>
    <row r="75" customFormat="false" ht="15" hidden="false" customHeight="false" outlineLevel="0" collapsed="false">
      <c r="B75" s="7" t="s">
        <v>162</v>
      </c>
      <c r="C75" s="45" t="n">
        <v>0.12</v>
      </c>
      <c r="E75" s="3" t="s">
        <v>163</v>
      </c>
    </row>
    <row r="76" customFormat="false" ht="15" hidden="false" customHeight="false" outlineLevel="0" collapsed="false">
      <c r="B76" s="7" t="s">
        <v>164</v>
      </c>
      <c r="C76" s="45" t="n">
        <v>0.03</v>
      </c>
    </row>
    <row r="77" customFormat="false" ht="15" hidden="false" customHeight="false" outlineLevel="0" collapsed="false">
      <c r="B77" s="7" t="s">
        <v>165</v>
      </c>
      <c r="C77" s="52" t="n">
        <v>7.5</v>
      </c>
      <c r="D77" s="52" t="n">
        <v>9.5</v>
      </c>
      <c r="E77" s="52" t="n">
        <v>14</v>
      </c>
    </row>
    <row r="78" customFormat="false" ht="54.75" hidden="false" customHeight="true" outlineLevel="0" collapsed="false">
      <c r="B78" s="19" t="s">
        <v>166</v>
      </c>
      <c r="C78" s="19"/>
      <c r="D78" s="19"/>
      <c r="E78" s="19"/>
    </row>
    <row r="81" customFormat="false" ht="69.75" hidden="false" customHeight="true" outlineLevel="0" collapsed="false">
      <c r="B81" s="7" t="s">
        <v>167</v>
      </c>
      <c r="C81" s="37" t="n">
        <v>75.3</v>
      </c>
      <c r="E81" s="24" t="s">
        <v>168</v>
      </c>
    </row>
    <row r="82" customFormat="false" ht="15" hidden="false" customHeight="false" outlineLevel="0" collapsed="false">
      <c r="B82" s="7" t="s">
        <v>169</v>
      </c>
      <c r="C82" s="53" t="n">
        <f aca="false">Cover_DilShares</f>
        <v>268.6</v>
      </c>
    </row>
  </sheetData>
  <mergeCells count="9">
    <mergeCell ref="A2:E2"/>
    <mergeCell ref="B3:F3"/>
    <mergeCell ref="B22:F22"/>
    <mergeCell ref="B38:F38"/>
    <mergeCell ref="B56:E56"/>
    <mergeCell ref="B63:E63"/>
    <mergeCell ref="B70:E70"/>
    <mergeCell ref="A72:E72"/>
    <mergeCell ref="B78:E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9" min="3" style="0" width="13"/>
    <col collapsed="false" customWidth="true" hidden="false" outlineLevel="0" max="10" min="10" style="0" width="3"/>
  </cols>
  <sheetData>
    <row r="2" customFormat="false" ht="19.5" hidden="false" customHeight="true" outlineLevel="0" collapsed="false">
      <c r="A2" s="6" t="s">
        <v>170</v>
      </c>
      <c r="B2" s="6"/>
      <c r="C2" s="6"/>
      <c r="D2" s="6"/>
      <c r="E2" s="6"/>
      <c r="F2" s="6"/>
      <c r="G2" s="6"/>
      <c r="H2" s="6"/>
    </row>
    <row r="3" customFormat="false" ht="30" hidden="false" customHeight="true" outlineLevel="0" collapsed="false">
      <c r="B3" s="19" t="s">
        <v>171</v>
      </c>
      <c r="C3" s="19"/>
      <c r="D3" s="19"/>
      <c r="E3" s="19"/>
      <c r="F3" s="19"/>
      <c r="G3" s="19"/>
      <c r="H3" s="19"/>
      <c r="I3" s="19"/>
    </row>
    <row r="6" customFormat="false" ht="15" hidden="false" customHeight="false" outlineLevel="0" collapsed="false">
      <c r="B6" s="7" t="s">
        <v>172</v>
      </c>
      <c r="D6" s="20" t="n">
        <f aca="false">Assumptions!$C$81</f>
        <v>75.3</v>
      </c>
    </row>
    <row r="7" customFormat="false" ht="15" hidden="false" customHeight="false" outlineLevel="0" collapsed="false">
      <c r="B7" s="7" t="s">
        <v>173</v>
      </c>
      <c r="D7" s="21" t="n">
        <f aca="false">Assumptions!$C$14</f>
        <v>0.035</v>
      </c>
    </row>
    <row r="8" customFormat="false" ht="15" hidden="false" customHeight="false" outlineLevel="0" collapsed="false">
      <c r="B8" s="7" t="s">
        <v>174</v>
      </c>
      <c r="D8" s="21" t="n">
        <f aca="false">'Historical Financials'!$G$12</f>
        <v>0.61464729669013</v>
      </c>
    </row>
    <row r="9" customFormat="false" ht="15" hidden="false" customHeight="false" outlineLevel="0" collapsed="false">
      <c r="B9" s="7" t="s">
        <v>175</v>
      </c>
      <c r="D9" s="22" t="n">
        <f aca="false">Assumptions!$C$28+Assumptions!$C$33</f>
        <v>320</v>
      </c>
    </row>
    <row r="10" customFormat="false" ht="15" hidden="false" customHeight="false" outlineLevel="0" collapsed="false">
      <c r="B10" s="7" t="s">
        <v>176</v>
      </c>
      <c r="D10" s="22" t="n">
        <f aca="false">Assumptions!$C$43</f>
        <v>577.5</v>
      </c>
    </row>
    <row r="12" customFormat="false" ht="19.5" hidden="false" customHeight="true" outlineLevel="0" collapsed="false">
      <c r="A12" s="6" t="s">
        <v>177</v>
      </c>
      <c r="B12" s="6"/>
      <c r="C12" s="6"/>
      <c r="D12" s="6"/>
      <c r="E12" s="6"/>
      <c r="F12" s="6"/>
      <c r="G12" s="6"/>
      <c r="H12" s="6"/>
    </row>
    <row r="13" customFormat="false" ht="23.85" hidden="false" customHeight="false" outlineLevel="0" collapsed="false">
      <c r="B13" s="54" t="s">
        <v>178</v>
      </c>
      <c r="C13" s="55" t="n">
        <v>-0.1</v>
      </c>
      <c r="D13" s="55" t="n">
        <v>0</v>
      </c>
      <c r="E13" s="55" t="n">
        <v>0.1</v>
      </c>
      <c r="F13" s="55" t="n">
        <v>0.2</v>
      </c>
      <c r="G13" s="55" t="n">
        <v>0.3</v>
      </c>
      <c r="H13" s="55" t="n">
        <v>0.4</v>
      </c>
    </row>
    <row r="14" customFormat="false" ht="15" hidden="false" customHeight="false" outlineLevel="0" collapsed="false">
      <c r="B14" s="56" t="s">
        <v>179</v>
      </c>
      <c r="C14" s="30" t="n">
        <f aca="false">(D7+-100/10000)*(D6*(1+C$13))*1000</f>
        <v>1694.25</v>
      </c>
      <c r="D14" s="30" t="n">
        <f aca="false">(D7+-100/10000)*(D6*(1+D$13))*1000</f>
        <v>1882.5</v>
      </c>
      <c r="E14" s="30" t="n">
        <f aca="false">(D7+-100/10000)*(D6*(1+E$13))*1000</f>
        <v>2070.75</v>
      </c>
      <c r="F14" s="30" t="n">
        <f aca="false">(D7+-100/10000)*(D6*(1+F$13))*1000</f>
        <v>2259</v>
      </c>
      <c r="G14" s="30" t="n">
        <f aca="false">(D7+-100/10000)*(D6*(1+G$13))*1000</f>
        <v>2447.25</v>
      </c>
      <c r="H14" s="30" t="n">
        <f aca="false">(D7+-100/10000)*(D6*(1+H$13))*1000</f>
        <v>2635.5</v>
      </c>
    </row>
    <row r="15" customFormat="false" ht="15" hidden="false" customHeight="false" outlineLevel="0" collapsed="false">
      <c r="B15" s="56" t="s">
        <v>180</v>
      </c>
      <c r="C15" s="30" t="n">
        <f aca="false">(D7+-75/10000)*(D6*(1+C$13))*1000</f>
        <v>1863.675</v>
      </c>
      <c r="D15" s="30" t="n">
        <f aca="false">(D7+-75/10000)*(D6*(1+D$13))*1000</f>
        <v>2070.75</v>
      </c>
      <c r="E15" s="30" t="n">
        <f aca="false">(D7+-75/10000)*(D6*(1+E$13))*1000</f>
        <v>2277.825</v>
      </c>
      <c r="F15" s="30" t="n">
        <f aca="false">(D7+-75/10000)*(D6*(1+F$13))*1000</f>
        <v>2484.9</v>
      </c>
      <c r="G15" s="30" t="n">
        <f aca="false">(D7+-75/10000)*(D6*(1+G$13))*1000</f>
        <v>2691.975</v>
      </c>
      <c r="H15" s="30" t="n">
        <f aca="false">(D7+-75/10000)*(D6*(1+H$13))*1000</f>
        <v>2899.05</v>
      </c>
    </row>
    <row r="16" customFormat="false" ht="15" hidden="false" customHeight="false" outlineLevel="0" collapsed="false">
      <c r="B16" s="56" t="s">
        <v>181</v>
      </c>
      <c r="C16" s="30" t="n">
        <f aca="false">(D7+-50/10000)*(D6*(1+C$13))*1000</f>
        <v>2033.1</v>
      </c>
      <c r="D16" s="30" t="n">
        <f aca="false">(D7+-50/10000)*(D6*(1+D$13))*1000</f>
        <v>2259</v>
      </c>
      <c r="E16" s="30" t="n">
        <f aca="false">(D7+-50/10000)*(D6*(1+E$13))*1000</f>
        <v>2484.9</v>
      </c>
      <c r="F16" s="30" t="n">
        <f aca="false">(D7+-50/10000)*(D6*(1+F$13))*1000</f>
        <v>2710.8</v>
      </c>
      <c r="G16" s="30" t="n">
        <f aca="false">(D7+-50/10000)*(D6*(1+G$13))*1000</f>
        <v>2936.7</v>
      </c>
      <c r="H16" s="30" t="n">
        <f aca="false">(D7+-50/10000)*(D6*(1+H$13))*1000</f>
        <v>3162.6</v>
      </c>
    </row>
    <row r="17" customFormat="false" ht="15" hidden="false" customHeight="false" outlineLevel="0" collapsed="false">
      <c r="B17" s="56" t="s">
        <v>182</v>
      </c>
      <c r="C17" s="30" t="n">
        <f aca="false">(D7+-25/10000)*(D6*(1+C$13))*1000</f>
        <v>2202.525</v>
      </c>
      <c r="D17" s="30" t="n">
        <f aca="false">(D7+-25/10000)*(D6*(1+D$13))*1000</f>
        <v>2447.25</v>
      </c>
      <c r="E17" s="30" t="n">
        <f aca="false">(D7+-25/10000)*(D6*(1+E$13))*1000</f>
        <v>2691.975</v>
      </c>
      <c r="F17" s="30" t="n">
        <f aca="false">(D7+-25/10000)*(D6*(1+F$13))*1000</f>
        <v>2936.7</v>
      </c>
      <c r="G17" s="30" t="n">
        <f aca="false">(D7+-25/10000)*(D6*(1+G$13))*1000</f>
        <v>3181.425</v>
      </c>
      <c r="H17" s="30" t="n">
        <f aca="false">(D7+-25/10000)*(D6*(1+H$13))*1000</f>
        <v>3426.15</v>
      </c>
    </row>
    <row r="18" customFormat="false" ht="15" hidden="false" customHeight="false" outlineLevel="0" collapsed="false">
      <c r="B18" s="56" t="s">
        <v>183</v>
      </c>
      <c r="C18" s="30" t="n">
        <f aca="false">(D7+0/10000)*(D6*(1+C$13))*1000</f>
        <v>2371.95</v>
      </c>
      <c r="D18" s="30" t="n">
        <f aca="false">(D7+0/10000)*(D6*(1+D$13))*1000</f>
        <v>2635.5</v>
      </c>
      <c r="E18" s="30" t="n">
        <f aca="false">(D7+0/10000)*(D6*(1+E$13))*1000</f>
        <v>2899.05</v>
      </c>
      <c r="F18" s="30" t="n">
        <f aca="false">(D7+0/10000)*(D6*(1+F$13))*1000</f>
        <v>3162.6</v>
      </c>
      <c r="G18" s="30" t="n">
        <f aca="false">(D7+0/10000)*(D6*(1+G$13))*1000</f>
        <v>3426.15</v>
      </c>
      <c r="H18" s="30" t="n">
        <f aca="false">(D7+0/10000)*(D6*(1+H$13))*1000</f>
        <v>3689.7</v>
      </c>
    </row>
    <row r="19" customFormat="false" ht="15" hidden="false" customHeight="false" outlineLevel="0" collapsed="false">
      <c r="B19" s="56" t="s">
        <v>184</v>
      </c>
      <c r="C19" s="30" t="n">
        <f aca="false">(D7+25/10000)*(D6*(1+C$13))*1000</f>
        <v>2541.375</v>
      </c>
      <c r="D19" s="30" t="n">
        <f aca="false">(D7+25/10000)*(D6*(1+D$13))*1000</f>
        <v>2823.75</v>
      </c>
      <c r="E19" s="30" t="n">
        <f aca="false">(D7+25/10000)*(D6*(1+E$13))*1000</f>
        <v>3106.125</v>
      </c>
      <c r="F19" s="30" t="n">
        <f aca="false">(D7+25/10000)*(D6*(1+F$13))*1000</f>
        <v>3388.5</v>
      </c>
      <c r="G19" s="30" t="n">
        <f aca="false">(D7+25/10000)*(D6*(1+G$13))*1000</f>
        <v>3670.875</v>
      </c>
      <c r="H19" s="30" t="n">
        <f aca="false">(D7+25/10000)*(D6*(1+H$13))*1000</f>
        <v>3953.25</v>
      </c>
    </row>
    <row r="21" customFormat="false" ht="19.5" hidden="false" customHeight="true" outlineLevel="0" collapsed="false">
      <c r="A21" s="6" t="s">
        <v>185</v>
      </c>
      <c r="B21" s="6"/>
      <c r="C21" s="6"/>
      <c r="D21" s="6"/>
      <c r="E21" s="6"/>
      <c r="F21" s="6"/>
      <c r="G21" s="6"/>
      <c r="H21" s="6"/>
    </row>
    <row r="22" customFormat="false" ht="15" hidden="false" customHeight="false" outlineLevel="0" collapsed="false">
      <c r="C22" s="55" t="n">
        <v>-0.1</v>
      </c>
      <c r="D22" s="55" t="n">
        <v>0</v>
      </c>
      <c r="E22" s="55" t="n">
        <v>0.1</v>
      </c>
      <c r="F22" s="55" t="n">
        <v>0.2</v>
      </c>
      <c r="G22" s="55" t="n">
        <v>0.3</v>
      </c>
      <c r="H22" s="55" t="n">
        <v>0.4</v>
      </c>
    </row>
    <row r="23" customFormat="false" ht="15" hidden="false" customHeight="false" outlineLevel="0" collapsed="false">
      <c r="B23" s="56" t="s">
        <v>179</v>
      </c>
      <c r="C23" s="30" t="n">
        <f aca="false">C14*(1-D8)+D9-D10</f>
        <v>395.383817582747</v>
      </c>
      <c r="D23" s="30" t="n">
        <f aca="false">D14*(1-D8)+D9-D10</f>
        <v>467.92646398083</v>
      </c>
      <c r="E23" s="30" t="n">
        <f aca="false">E14*(1-D8)+D9-D10</f>
        <v>540.469110378913</v>
      </c>
      <c r="F23" s="30" t="n">
        <f aca="false">F14*(1-D8)+D9-D10</f>
        <v>613.011756776996</v>
      </c>
      <c r="G23" s="30" t="n">
        <f aca="false">G14*(1-D8)+D9-D10</f>
        <v>685.554403175079</v>
      </c>
      <c r="H23" s="30" t="n">
        <f aca="false">H14*(1-D8)+D9-D10</f>
        <v>758.097049573162</v>
      </c>
    </row>
    <row r="24" customFormat="false" ht="15" hidden="false" customHeight="false" outlineLevel="0" collapsed="false">
      <c r="B24" s="56" t="s">
        <v>180</v>
      </c>
      <c r="C24" s="30" t="n">
        <f aca="false">C15*(1-D8)+D9-D10</f>
        <v>460.672199341022</v>
      </c>
      <c r="D24" s="30" t="n">
        <f aca="false">D15*(1-D8)+D9-D10</f>
        <v>540.469110378913</v>
      </c>
      <c r="E24" s="30" t="n">
        <f aca="false">E15*(1-D8)+D9-D10</f>
        <v>620.266021416804</v>
      </c>
      <c r="F24" s="30" t="n">
        <f aca="false">F15*(1-D8)+D9-D10</f>
        <v>700.062932454696</v>
      </c>
      <c r="G24" s="30" t="n">
        <f aca="false">G15*(1-D8)+D9-D10</f>
        <v>779.859843492587</v>
      </c>
      <c r="H24" s="30" t="n">
        <f aca="false">H15*(1-D8)+D9-D10</f>
        <v>859.656754530478</v>
      </c>
    </row>
    <row r="25" customFormat="false" ht="15" hidden="false" customHeight="false" outlineLevel="0" collapsed="false">
      <c r="B25" s="56" t="s">
        <v>181</v>
      </c>
      <c r="C25" s="30" t="n">
        <f aca="false">C16*(1-D8)+D9-D10</f>
        <v>525.960581099296</v>
      </c>
      <c r="D25" s="30" t="n">
        <f aca="false">D16*(1-D8)+D9-D10</f>
        <v>613.011756776996</v>
      </c>
      <c r="E25" s="30" t="n">
        <f aca="false">E16*(1-D8)+D9-D10</f>
        <v>700.062932454696</v>
      </c>
      <c r="F25" s="30" t="n">
        <f aca="false">F16*(1-D8)+D9-D10</f>
        <v>787.114108132395</v>
      </c>
      <c r="G25" s="30" t="n">
        <f aca="false">G16*(1-D8)+D9-D10</f>
        <v>874.165283810095</v>
      </c>
      <c r="H25" s="30" t="n">
        <f aca="false">H16*(1-D8)+D9-D10</f>
        <v>961.216459487794</v>
      </c>
    </row>
    <row r="26" customFormat="false" ht="15" hidden="false" customHeight="false" outlineLevel="0" collapsed="false">
      <c r="B26" s="56" t="s">
        <v>182</v>
      </c>
      <c r="C26" s="30" t="n">
        <f aca="false">C17*(1-D8)+D9-D10</f>
        <v>591.248962857571</v>
      </c>
      <c r="D26" s="30" t="n">
        <f aca="false">D17*(1-D8)+D9-D10</f>
        <v>685.554403175079</v>
      </c>
      <c r="E26" s="30" t="n">
        <f aca="false">E17*(1-D8)+D9-D10</f>
        <v>779.859843492587</v>
      </c>
      <c r="F26" s="30" t="n">
        <f aca="false">F17*(1-D8)+D9-D10</f>
        <v>874.165283810095</v>
      </c>
      <c r="G26" s="30" t="n">
        <f aca="false">G17*(1-D8)+D9-D10</f>
        <v>968.470724127603</v>
      </c>
      <c r="H26" s="30" t="n">
        <f aca="false">H17*(1-D8)+D9-D10</f>
        <v>1062.77616444511</v>
      </c>
    </row>
    <row r="27" customFormat="false" ht="15" hidden="false" customHeight="false" outlineLevel="0" collapsed="false">
      <c r="B27" s="56" t="s">
        <v>183</v>
      </c>
      <c r="C27" s="30" t="n">
        <f aca="false">C18*(1-D8)+D9-D10</f>
        <v>656.537344615846</v>
      </c>
      <c r="D27" s="30" t="n">
        <f aca="false">D18*(1-D8)+D9-D10</f>
        <v>758.097049573162</v>
      </c>
      <c r="E27" s="30" t="n">
        <f aca="false">E18*(1-D8)+D9-D10</f>
        <v>859.656754530478</v>
      </c>
      <c r="F27" s="30" t="n">
        <f aca="false">F18*(1-D8)+D9-D10</f>
        <v>961.216459487795</v>
      </c>
      <c r="G27" s="30" t="n">
        <f aca="false">G18*(1-D8)+D9-D10</f>
        <v>1062.77616444511</v>
      </c>
      <c r="H27" s="30" t="n">
        <f aca="false">H18*(1-D8)+D9-D10</f>
        <v>1164.33586940243</v>
      </c>
    </row>
    <row r="28" customFormat="false" ht="15" hidden="false" customHeight="false" outlineLevel="0" collapsed="false">
      <c r="B28" s="56" t="s">
        <v>184</v>
      </c>
      <c r="C28" s="30" t="n">
        <f aca="false">C19*(1-D8)+D9-D10</f>
        <v>721.825726374121</v>
      </c>
      <c r="D28" s="30" t="n">
        <f aca="false">D19*(1-D8)+D9-D10</f>
        <v>830.639695971245</v>
      </c>
      <c r="E28" s="30" t="n">
        <f aca="false">E19*(1-D8)+D9-D10</f>
        <v>939.45366556837</v>
      </c>
      <c r="F28" s="30" t="n">
        <f aca="false">F19*(1-D8)+D9-D10</f>
        <v>1048.26763516549</v>
      </c>
      <c r="G28" s="30" t="n">
        <f aca="false">G19*(1-D8)+D9-D10</f>
        <v>1157.08160476262</v>
      </c>
      <c r="H28" s="30" t="n">
        <f aca="false">H19*(1-D8)+D9-D10</f>
        <v>1265.89557435974</v>
      </c>
    </row>
    <row r="30" customFormat="false" ht="60" hidden="false" customHeight="true" outlineLevel="0" collapsed="false">
      <c r="B30" s="19" t="s">
        <v>186</v>
      </c>
      <c r="C30" s="19"/>
      <c r="D30" s="19"/>
      <c r="E30" s="19"/>
      <c r="F30" s="19"/>
      <c r="G30" s="19"/>
      <c r="H30" s="19"/>
      <c r="I30" s="19"/>
    </row>
    <row r="32" customFormat="false" ht="54.75" hidden="false" customHeight="true" outlineLevel="0" collapsed="false">
      <c r="B32" s="19" t="s">
        <v>187</v>
      </c>
      <c r="C32" s="19"/>
      <c r="D32" s="19"/>
      <c r="E32" s="19"/>
      <c r="F32" s="19"/>
      <c r="G32" s="19"/>
      <c r="H32" s="19"/>
      <c r="I32" s="19"/>
    </row>
  </sheetData>
  <mergeCells count="6">
    <mergeCell ref="A2:H2"/>
    <mergeCell ref="B3:I3"/>
    <mergeCell ref="A12:H12"/>
    <mergeCell ref="A21:H21"/>
    <mergeCell ref="B30:I30"/>
    <mergeCell ref="B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4"/>
    <col collapsed="false" customWidth="true" hidden="false" outlineLevel="0" max="6" min="6" style="0" width="3"/>
  </cols>
  <sheetData>
    <row r="2" customFormat="false" ht="19.5" hidden="false" customHeight="true" outlineLevel="0" collapsed="false">
      <c r="A2" s="6" t="s">
        <v>188</v>
      </c>
      <c r="B2" s="6"/>
      <c r="C2" s="6"/>
      <c r="D2" s="6"/>
      <c r="E2" s="6"/>
    </row>
    <row r="3" customFormat="false" ht="49.5" hidden="false" customHeight="true" outlineLevel="0" collapsed="false">
      <c r="B3" s="19" t="s">
        <v>189</v>
      </c>
      <c r="C3" s="19"/>
      <c r="D3" s="19"/>
      <c r="E3" s="19"/>
      <c r="F3" s="19"/>
    </row>
    <row r="6" customFormat="false" ht="15" hidden="false" customHeight="false" outlineLevel="0" collapsed="false">
      <c r="B6" s="57" t="s">
        <v>54</v>
      </c>
      <c r="C6" s="57"/>
      <c r="D6" s="57"/>
      <c r="E6" s="57"/>
    </row>
    <row r="7" customFormat="false" ht="15" hidden="false" customHeight="false" outlineLevel="0" collapsed="false">
      <c r="B7" s="7"/>
      <c r="C7" s="12" t="s">
        <v>134</v>
      </c>
      <c r="D7" s="12" t="s">
        <v>135</v>
      </c>
      <c r="E7" s="12" t="s">
        <v>136</v>
      </c>
    </row>
    <row r="8" customFormat="false" ht="15" hidden="false" customHeight="false" outlineLevel="0" collapsed="false">
      <c r="B8" s="58" t="s">
        <v>95</v>
      </c>
      <c r="C8" s="59" t="n">
        <f aca="false">Assumptions!$C$81*(1+Assumptions!$C$8)</f>
        <v>82.83</v>
      </c>
      <c r="D8" s="59" t="n">
        <f aca="false">C8*(1+Assumptions!$D$8)</f>
        <v>89.4564</v>
      </c>
      <c r="E8" s="59" t="n">
        <f aca="false">D8*(1+Assumptions!$E$8)</f>
        <v>94.823784</v>
      </c>
    </row>
    <row r="9" customFormat="false" ht="15" hidden="false" customHeight="false" outlineLevel="0" collapsed="false">
      <c r="B9" s="60" t="s">
        <v>190</v>
      </c>
      <c r="C9" s="59" t="n">
        <f aca="false">(Assumptions!$C$81+C8)/2</f>
        <v>79.065</v>
      </c>
      <c r="D9" s="59" t="n">
        <f aca="false">(C8+D8)/2</f>
        <v>86.1432</v>
      </c>
      <c r="E9" s="59" t="n">
        <f aca="false">(D8+E8)/2</f>
        <v>92.140092</v>
      </c>
    </row>
    <row r="10" customFormat="false" ht="15" hidden="false" customHeight="false" outlineLevel="0" collapsed="false">
      <c r="B10" s="58" t="s">
        <v>141</v>
      </c>
      <c r="C10" s="61" t="n">
        <f aca="false">Assumptions!$C$13</f>
        <v>0.033</v>
      </c>
      <c r="D10" s="61" t="n">
        <f aca="false">Assumptions!$D$13</f>
        <v>0.029</v>
      </c>
      <c r="E10" s="61" t="n">
        <f aca="false">Assumptions!$E$13</f>
        <v>0.025</v>
      </c>
    </row>
    <row r="11" customFormat="false" ht="15" hidden="false" customHeight="false" outlineLevel="0" collapsed="false">
      <c r="B11" s="58" t="s">
        <v>191</v>
      </c>
      <c r="C11" s="30" t="n">
        <f aca="false">C9*1000*C10</f>
        <v>2609.145</v>
      </c>
      <c r="D11" s="30" t="n">
        <f aca="false">D9*1000*D10</f>
        <v>2498.1528</v>
      </c>
      <c r="E11" s="30" t="n">
        <f aca="false">E9*1000*E10</f>
        <v>2303.5023</v>
      </c>
    </row>
    <row r="12" customFormat="false" ht="15" hidden="false" customHeight="false" outlineLevel="0" collapsed="false">
      <c r="B12" s="60" t="s">
        <v>192</v>
      </c>
      <c r="C12" s="30" t="n">
        <f aca="false">Assumptions!$C$27</f>
        <v>180</v>
      </c>
      <c r="D12" s="30" t="n">
        <f aca="false">Assumptions!$D$27</f>
        <v>190</v>
      </c>
      <c r="E12" s="30" t="n">
        <f aca="false">Assumptions!$E$27</f>
        <v>205</v>
      </c>
    </row>
    <row r="13" customFormat="false" ht="15" hidden="false" customHeight="false" outlineLevel="0" collapsed="false">
      <c r="B13" s="60" t="s">
        <v>193</v>
      </c>
      <c r="C13" s="30" t="n">
        <f aca="false">Assumptions!$C$32</f>
        <v>140</v>
      </c>
      <c r="D13" s="30" t="n">
        <f aca="false">Assumptions!$D$32</f>
        <v>162</v>
      </c>
      <c r="E13" s="30" t="n">
        <f aca="false">Assumptions!$E$32</f>
        <v>182</v>
      </c>
    </row>
    <row r="14" customFormat="false" ht="15" hidden="false" customHeight="false" outlineLevel="0" collapsed="false">
      <c r="B14" s="58" t="s">
        <v>194</v>
      </c>
      <c r="C14" s="30" t="n">
        <f aca="false">C12+C13</f>
        <v>320</v>
      </c>
      <c r="D14" s="30" t="n">
        <f aca="false">D12+D13</f>
        <v>352</v>
      </c>
      <c r="E14" s="30" t="n">
        <f aca="false">E12+E13</f>
        <v>387</v>
      </c>
    </row>
    <row r="15" customFormat="false" ht="15" hidden="false" customHeight="false" outlineLevel="0" collapsed="false">
      <c r="B15" s="62" t="s">
        <v>195</v>
      </c>
      <c r="C15" s="63" t="n">
        <f aca="false">C11+C14</f>
        <v>2929.145</v>
      </c>
      <c r="D15" s="63" t="n">
        <f aca="false">D11+D14</f>
        <v>2850.1528</v>
      </c>
      <c r="E15" s="63" t="n">
        <f aca="false">E11+E14</f>
        <v>2690.5023</v>
      </c>
    </row>
    <row r="17" customFormat="false" ht="15" hidden="false" customHeight="false" outlineLevel="0" collapsed="false">
      <c r="B17" s="58" t="s">
        <v>196</v>
      </c>
      <c r="C17" s="61" t="n">
        <f aca="false">Assumptions!$C$18</f>
        <v>0.4</v>
      </c>
      <c r="D17" s="61" t="n">
        <f aca="false">Assumptions!$D$18</f>
        <v>0.39</v>
      </c>
      <c r="E17" s="61" t="n">
        <f aca="false">Assumptions!$E$18</f>
        <v>0.38</v>
      </c>
    </row>
    <row r="18" customFormat="false" ht="15" hidden="false" customHeight="false" outlineLevel="0" collapsed="false">
      <c r="B18" s="58" t="s">
        <v>197</v>
      </c>
      <c r="C18" s="30" t="n">
        <f aca="false">C15*C17</f>
        <v>1171.658</v>
      </c>
      <c r="D18" s="30" t="n">
        <f aca="false">D15*D17</f>
        <v>1111.559592</v>
      </c>
      <c r="E18" s="30" t="n">
        <f aca="false">E15*E17</f>
        <v>1022.390874</v>
      </c>
    </row>
    <row r="19" customFormat="false" ht="15" hidden="false" customHeight="false" outlineLevel="0" collapsed="false">
      <c r="B19" s="60" t="s">
        <v>198</v>
      </c>
      <c r="C19" s="30" t="n">
        <f aca="false">C15-C18</f>
        <v>1757.487</v>
      </c>
      <c r="D19" s="30" t="n">
        <f aca="false">D15-D18</f>
        <v>1738.593208</v>
      </c>
      <c r="E19" s="30" t="n">
        <f aca="false">E15-E18</f>
        <v>1668.111426</v>
      </c>
    </row>
    <row r="20" customFormat="false" ht="15" hidden="false" customHeight="false" outlineLevel="0" collapsed="false">
      <c r="B20" s="58" t="s">
        <v>149</v>
      </c>
      <c r="C20" s="30" t="n">
        <f aca="false">Assumptions!$C$42</f>
        <v>577.5</v>
      </c>
      <c r="D20" s="30" t="n">
        <f aca="false">Assumptions!$D$42</f>
        <v>646.8</v>
      </c>
      <c r="E20" s="30" t="n">
        <f aca="false">Assumptions!$E$42</f>
        <v>724.4</v>
      </c>
    </row>
    <row r="21" customFormat="false" ht="15" hidden="false" customHeight="false" outlineLevel="0" collapsed="false">
      <c r="B21" s="62" t="s">
        <v>199</v>
      </c>
      <c r="C21" s="63" t="n">
        <f aca="false">C18-C20</f>
        <v>594.158</v>
      </c>
      <c r="D21" s="63" t="n">
        <f aca="false">D18-D20</f>
        <v>464.759592</v>
      </c>
      <c r="E21" s="63" t="n">
        <f aca="false">E18-E20</f>
        <v>297.990874</v>
      </c>
    </row>
    <row r="22" customFormat="false" ht="15" hidden="false" customHeight="false" outlineLevel="0" collapsed="false">
      <c r="B22" s="60" t="s">
        <v>200</v>
      </c>
      <c r="C22" s="61" t="n">
        <f aca="false">IFERROR(C21/C15,"-")</f>
        <v>0.202843491872202</v>
      </c>
      <c r="D22" s="61" t="n">
        <f aca="false">IFERROR(D21/D15,"-")</f>
        <v>0.163064798490804</v>
      </c>
      <c r="E22" s="61" t="n">
        <f aca="false">IFERROR(E21/E15,"-")</f>
        <v>0.110756595153254</v>
      </c>
    </row>
    <row r="23" customFormat="false" ht="15" hidden="false" customHeight="false" outlineLevel="0" collapsed="false">
      <c r="B23" s="58" t="s">
        <v>201</v>
      </c>
      <c r="C23" s="30" t="n">
        <f aca="false">C15*Assumptions!$C$59</f>
        <v>117.1658</v>
      </c>
      <c r="D23" s="30" t="n">
        <f aca="false">D15*Assumptions!$D$59</f>
        <v>119.7064176</v>
      </c>
      <c r="E23" s="30" t="n">
        <f aca="false">E15*Assumptions!$E$59</f>
        <v>115.6915989</v>
      </c>
    </row>
    <row r="24" customFormat="false" ht="15" hidden="false" customHeight="false" outlineLevel="0" collapsed="false">
      <c r="B24" s="58" t="s">
        <v>202</v>
      </c>
      <c r="C24" s="22" t="n">
        <f aca="false">'SBC &amp; Dilution Schedule'!C10</f>
        <v>248.977325</v>
      </c>
      <c r="D24" s="22" t="n">
        <f aca="false">'SBC &amp; Dilution Schedule'!D10</f>
        <v>242.262988</v>
      </c>
      <c r="E24" s="22" t="n">
        <f aca="false">'SBC &amp; Dilution Schedule'!E10</f>
        <v>228.6926955</v>
      </c>
    </row>
    <row r="25" customFormat="false" ht="15" hidden="false" customHeight="false" outlineLevel="0" collapsed="false">
      <c r="B25" s="62" t="s">
        <v>203</v>
      </c>
      <c r="C25" s="63" t="n">
        <f aca="false">C21-C23-C24</f>
        <v>228.014875</v>
      </c>
      <c r="D25" s="63" t="n">
        <f aca="false">D21-D23-D24</f>
        <v>102.7901864</v>
      </c>
      <c r="E25" s="63" t="n">
        <f aca="false">E21-E23-E24</f>
        <v>-46.3934203999999</v>
      </c>
    </row>
    <row r="26" customFormat="false" ht="30" hidden="false" customHeight="true" outlineLevel="0" collapsed="false">
      <c r="B26" s="60" t="s">
        <v>204</v>
      </c>
      <c r="C26" s="22" t="n">
        <f aca="false">'Historical Financials'!$C$35*Assumptions!$C$74</f>
        <v>60.55441</v>
      </c>
      <c r="D26" s="22" t="n">
        <f aca="false">'Historical Financials'!$C$35*Assumptions!$C$74</f>
        <v>60.55441</v>
      </c>
      <c r="E26" s="22" t="n">
        <f aca="false">'Historical Financials'!$C$35*Assumptions!$C$74</f>
        <v>60.55441</v>
      </c>
      <c r="F26" s="24" t="s">
        <v>205</v>
      </c>
    </row>
    <row r="27" customFormat="false" ht="15" hidden="false" customHeight="false" outlineLevel="0" collapsed="false">
      <c r="B27" s="62" t="s">
        <v>206</v>
      </c>
      <c r="C27" s="63" t="n">
        <f aca="false">C25+C26</f>
        <v>288.569285</v>
      </c>
      <c r="D27" s="63" t="n">
        <f aca="false">D25+D26</f>
        <v>163.3445964</v>
      </c>
      <c r="E27" s="63" t="n">
        <f aca="false">E25+E26</f>
        <v>14.1609896000001</v>
      </c>
    </row>
    <row r="28" customFormat="false" ht="15" hidden="false" customHeight="false" outlineLevel="0" collapsed="false">
      <c r="B28" s="58" t="s">
        <v>207</v>
      </c>
      <c r="C28" s="30" t="n">
        <f aca="false">MAX(C27,0)*Assumptions!$C$73</f>
        <v>60.59954985</v>
      </c>
      <c r="D28" s="30" t="n">
        <f aca="false">MAX(D27,0)*Assumptions!$C$73</f>
        <v>34.302365244</v>
      </c>
      <c r="E28" s="30" t="n">
        <f aca="false">MAX(E27,0)*Assumptions!$C$73</f>
        <v>2.97380781600002</v>
      </c>
    </row>
    <row r="29" customFormat="false" ht="15" hidden="false" customHeight="false" outlineLevel="0" collapsed="false">
      <c r="B29" s="62" t="s">
        <v>208</v>
      </c>
      <c r="C29" s="63" t="n">
        <f aca="false">C27-C28</f>
        <v>227.96973515</v>
      </c>
      <c r="D29" s="63" t="n">
        <f aca="false">D27-D28</f>
        <v>129.042231156</v>
      </c>
      <c r="E29" s="63" t="n">
        <f aca="false">E27-E28</f>
        <v>11.1871817840001</v>
      </c>
    </row>
    <row r="30" customFormat="false" ht="15" hidden="false" customHeight="false" outlineLevel="0" collapsed="false">
      <c r="B30" s="60" t="s">
        <v>209</v>
      </c>
      <c r="C30" s="61" t="n">
        <f aca="false">IFERROR(C29/C15,"-")</f>
        <v>0.0778280812831048</v>
      </c>
      <c r="D30" s="61" t="n">
        <f aca="false">IFERROR(D29/D15,"-")</f>
        <v>0.0452755484393679</v>
      </c>
      <c r="E30" s="61" t="n">
        <f aca="false">IFERROR(E29/E15,"-")</f>
        <v>0.00415802721447221</v>
      </c>
    </row>
    <row r="31" customFormat="false" ht="15" hidden="false" customHeight="false" outlineLevel="0" collapsed="false">
      <c r="B31" s="58" t="s">
        <v>210</v>
      </c>
      <c r="C31" s="64" t="n">
        <f aca="false">'SBC &amp; Dilution Schedule'!C11</f>
        <v>276.658</v>
      </c>
      <c r="D31" s="64" t="n">
        <f aca="false">'SBC &amp; Dilution Schedule'!D11</f>
        <v>284.95774</v>
      </c>
      <c r="E31" s="64" t="n">
        <f aca="false">'SBC &amp; Dilution Schedule'!E11</f>
        <v>293.5064722</v>
      </c>
    </row>
    <row r="32" customFormat="false" ht="15" hidden="false" customHeight="false" outlineLevel="0" collapsed="false">
      <c r="B32" s="60" t="s">
        <v>211</v>
      </c>
      <c r="C32" s="17" t="n">
        <f aca="false">IFERROR(C29/C31,"-")</f>
        <v>0.824012806967448</v>
      </c>
      <c r="D32" s="17" t="n">
        <f aca="false">IFERROR(D29/D31,"-")</f>
        <v>0.452846906899248</v>
      </c>
      <c r="E32" s="17" t="n">
        <f aca="false">IFERROR(E29/E31,"-")</f>
        <v>0.038115622119491</v>
      </c>
    </row>
    <row r="33" customFormat="false" ht="15" hidden="false" customHeight="false" outlineLevel="0" collapsed="false">
      <c r="B33" s="60" t="s">
        <v>212</v>
      </c>
      <c r="C33" s="17" t="n">
        <f aca="false">IFERROR(C21/C31,"-")</f>
        <v>2.14762631118565</v>
      </c>
      <c r="D33" s="17" t="n">
        <f aca="false">IFERROR(D21/D31,"-")</f>
        <v>1.63097725297793</v>
      </c>
      <c r="E33" s="17" t="n">
        <f aca="false">IFERROR(E21/E31,"-")</f>
        <v>1.01527871520647</v>
      </c>
    </row>
    <row r="35" customFormat="false" ht="15" hidden="false" customHeight="false" outlineLevel="0" collapsed="false">
      <c r="B35" s="65" t="s">
        <v>213</v>
      </c>
      <c r="C35" s="65"/>
      <c r="D35" s="65"/>
      <c r="E35" s="65"/>
    </row>
    <row r="36" customFormat="false" ht="15" hidden="false" customHeight="false" outlineLevel="0" collapsed="false">
      <c r="B36" s="7"/>
      <c r="C36" s="12" t="s">
        <v>134</v>
      </c>
      <c r="D36" s="12" t="s">
        <v>135</v>
      </c>
      <c r="E36" s="12" t="s">
        <v>136</v>
      </c>
    </row>
    <row r="37" customFormat="false" ht="15" hidden="false" customHeight="false" outlineLevel="0" collapsed="false">
      <c r="B37" s="66" t="s">
        <v>95</v>
      </c>
      <c r="C37" s="59" t="n">
        <f aca="false">Assumptions!$C$81*(1+Assumptions!$C$9)</f>
        <v>90.36</v>
      </c>
      <c r="D37" s="59" t="n">
        <f aca="false">C37*(1+Assumptions!$D$9)</f>
        <v>106.6248</v>
      </c>
      <c r="E37" s="59" t="n">
        <f aca="false">D37*(1+Assumptions!$E$9)</f>
        <v>123.684768</v>
      </c>
    </row>
    <row r="38" customFormat="false" ht="15" hidden="false" customHeight="false" outlineLevel="0" collapsed="false">
      <c r="B38" s="67" t="s">
        <v>190</v>
      </c>
      <c r="C38" s="59" t="n">
        <f aca="false">(Assumptions!$C$81+C37)/2</f>
        <v>82.83</v>
      </c>
      <c r="D38" s="59" t="n">
        <f aca="false">(C37+D37)/2</f>
        <v>98.4924</v>
      </c>
      <c r="E38" s="59" t="n">
        <f aca="false">(D37+E37)/2</f>
        <v>115.154784</v>
      </c>
    </row>
    <row r="39" customFormat="false" ht="15" hidden="false" customHeight="false" outlineLevel="0" collapsed="false">
      <c r="B39" s="66" t="s">
        <v>141</v>
      </c>
      <c r="C39" s="61" t="n">
        <f aca="false">Assumptions!$C$14</f>
        <v>0.035</v>
      </c>
      <c r="D39" s="61" t="n">
        <f aca="false">Assumptions!$D$14</f>
        <v>0.032</v>
      </c>
      <c r="E39" s="61" t="n">
        <f aca="false">Assumptions!$E$14</f>
        <v>0.029</v>
      </c>
    </row>
    <row r="40" customFormat="false" ht="15" hidden="false" customHeight="false" outlineLevel="0" collapsed="false">
      <c r="B40" s="66" t="s">
        <v>191</v>
      </c>
      <c r="C40" s="30" t="n">
        <f aca="false">C38*1000*C39</f>
        <v>2899.05</v>
      </c>
      <c r="D40" s="30" t="n">
        <f aca="false">D38*1000*D39</f>
        <v>3151.7568</v>
      </c>
      <c r="E40" s="30" t="n">
        <f aca="false">E38*1000*E39</f>
        <v>3339.488736</v>
      </c>
    </row>
    <row r="41" customFormat="false" ht="15" hidden="false" customHeight="false" outlineLevel="0" collapsed="false">
      <c r="B41" s="67" t="s">
        <v>192</v>
      </c>
      <c r="C41" s="30" t="n">
        <f aca="false">Assumptions!$C$28</f>
        <v>180</v>
      </c>
      <c r="D41" s="30" t="n">
        <f aca="false">Assumptions!$D$28</f>
        <v>230</v>
      </c>
      <c r="E41" s="30" t="n">
        <f aca="false">Assumptions!$E$28</f>
        <v>300</v>
      </c>
    </row>
    <row r="42" customFormat="false" ht="15" hidden="false" customHeight="false" outlineLevel="0" collapsed="false">
      <c r="B42" s="67" t="s">
        <v>193</v>
      </c>
      <c r="C42" s="30" t="n">
        <f aca="false">Assumptions!$C$33</f>
        <v>140</v>
      </c>
      <c r="D42" s="30" t="n">
        <f aca="false">Assumptions!$D$33</f>
        <v>170</v>
      </c>
      <c r="E42" s="30" t="n">
        <f aca="false">Assumptions!$E$33</f>
        <v>200</v>
      </c>
    </row>
    <row r="43" customFormat="false" ht="15" hidden="false" customHeight="false" outlineLevel="0" collapsed="false">
      <c r="B43" s="66" t="s">
        <v>194</v>
      </c>
      <c r="C43" s="30" t="n">
        <f aca="false">C41+C42</f>
        <v>320</v>
      </c>
      <c r="D43" s="30" t="n">
        <f aca="false">D41+D42</f>
        <v>400</v>
      </c>
      <c r="E43" s="30" t="n">
        <f aca="false">E41+E42</f>
        <v>500</v>
      </c>
    </row>
    <row r="44" customFormat="false" ht="15" hidden="false" customHeight="false" outlineLevel="0" collapsed="false">
      <c r="B44" s="68" t="s">
        <v>195</v>
      </c>
      <c r="C44" s="63" t="n">
        <f aca="false">C40+C43</f>
        <v>3219.05</v>
      </c>
      <c r="D44" s="63" t="n">
        <f aca="false">D40+D43</f>
        <v>3551.7568</v>
      </c>
      <c r="E44" s="63" t="n">
        <f aca="false">E40+E43</f>
        <v>3839.488736</v>
      </c>
    </row>
    <row r="46" customFormat="false" ht="15" hidden="false" customHeight="false" outlineLevel="0" collapsed="false">
      <c r="B46" s="66" t="s">
        <v>196</v>
      </c>
      <c r="C46" s="61" t="n">
        <f aca="false">Assumptions!$C$19</f>
        <v>0.425</v>
      </c>
      <c r="D46" s="61" t="n">
        <f aca="false">Assumptions!$D$19</f>
        <v>0.425</v>
      </c>
      <c r="E46" s="61" t="n">
        <f aca="false">Assumptions!$E$19</f>
        <v>0.425</v>
      </c>
    </row>
    <row r="47" customFormat="false" ht="15" hidden="false" customHeight="false" outlineLevel="0" collapsed="false">
      <c r="B47" s="66" t="s">
        <v>197</v>
      </c>
      <c r="C47" s="30" t="n">
        <f aca="false">C44*C46</f>
        <v>1368.09625</v>
      </c>
      <c r="D47" s="30" t="n">
        <f aca="false">D44*D46</f>
        <v>1509.49664</v>
      </c>
      <c r="E47" s="30" t="n">
        <f aca="false">E44*E46</f>
        <v>1631.7827128</v>
      </c>
    </row>
    <row r="48" customFormat="false" ht="15" hidden="false" customHeight="false" outlineLevel="0" collapsed="false">
      <c r="B48" s="67" t="s">
        <v>198</v>
      </c>
      <c r="C48" s="30" t="n">
        <f aca="false">C44-C47</f>
        <v>1850.95375</v>
      </c>
      <c r="D48" s="30" t="n">
        <f aca="false">D44-D47</f>
        <v>2042.26016</v>
      </c>
      <c r="E48" s="30" t="n">
        <f aca="false">E44-E47</f>
        <v>2207.7060232</v>
      </c>
    </row>
    <row r="49" customFormat="false" ht="15" hidden="false" customHeight="false" outlineLevel="0" collapsed="false">
      <c r="B49" s="66" t="s">
        <v>149</v>
      </c>
      <c r="C49" s="30" t="n">
        <f aca="false">Assumptions!$C$43</f>
        <v>577.5</v>
      </c>
      <c r="D49" s="30" t="n">
        <f aca="false">Assumptions!$D$43</f>
        <v>623.7</v>
      </c>
      <c r="E49" s="30" t="n">
        <f aca="false">Assumptions!$E$43</f>
        <v>673.6</v>
      </c>
    </row>
    <row r="50" customFormat="false" ht="15" hidden="false" customHeight="false" outlineLevel="0" collapsed="false">
      <c r="B50" s="68" t="s">
        <v>199</v>
      </c>
      <c r="C50" s="63" t="n">
        <f aca="false">C47-C49</f>
        <v>790.59625</v>
      </c>
      <c r="D50" s="63" t="n">
        <f aca="false">D47-D49</f>
        <v>885.79664</v>
      </c>
      <c r="E50" s="63" t="n">
        <f aca="false">E47-E49</f>
        <v>958.1827128</v>
      </c>
    </row>
    <row r="51" customFormat="false" ht="15" hidden="false" customHeight="false" outlineLevel="0" collapsed="false">
      <c r="B51" s="67" t="s">
        <v>200</v>
      </c>
      <c r="C51" s="61" t="n">
        <f aca="false">IFERROR(C50/C44,"-")</f>
        <v>0.245599245118902</v>
      </c>
      <c r="D51" s="61" t="n">
        <f aca="false">IFERROR(D50/D44,"-")</f>
        <v>0.249396760498917</v>
      </c>
      <c r="E51" s="61" t="n">
        <f aca="false">IFERROR(E50/E44,"-")</f>
        <v>0.249559974955999</v>
      </c>
    </row>
    <row r="52" customFormat="false" ht="15" hidden="false" customHeight="false" outlineLevel="0" collapsed="false">
      <c r="B52" s="66" t="s">
        <v>201</v>
      </c>
      <c r="C52" s="30" t="n">
        <f aca="false">C44*Assumptions!$C$60</f>
        <v>128.762</v>
      </c>
      <c r="D52" s="30" t="n">
        <f aca="false">D44*Assumptions!$D$60</f>
        <v>152.7255424</v>
      </c>
      <c r="E52" s="30" t="n">
        <f aca="false">E44*Assumptions!$E$60</f>
        <v>172.77699312</v>
      </c>
    </row>
    <row r="53" customFormat="false" ht="15" hidden="false" customHeight="false" outlineLevel="0" collapsed="false">
      <c r="B53" s="66" t="s">
        <v>202</v>
      </c>
      <c r="C53" s="22" t="n">
        <f aca="false">'SBC &amp; Dilution Schedule'!C20</f>
        <v>241.42875</v>
      </c>
      <c r="D53" s="22" t="n">
        <f aca="false">'SBC &amp; Dilution Schedule'!D20</f>
        <v>248.622976</v>
      </c>
      <c r="E53" s="22" t="n">
        <f aca="false">'SBC &amp; Dilution Schedule'!E20</f>
        <v>249.56676784</v>
      </c>
    </row>
    <row r="54" customFormat="false" ht="15" hidden="false" customHeight="false" outlineLevel="0" collapsed="false">
      <c r="B54" s="68" t="s">
        <v>203</v>
      </c>
      <c r="C54" s="63" t="n">
        <f aca="false">C50-C52-C53</f>
        <v>420.4055</v>
      </c>
      <c r="D54" s="63" t="n">
        <f aca="false">D50-D52-D53</f>
        <v>484.4481216</v>
      </c>
      <c r="E54" s="63" t="n">
        <f aca="false">E50-E52-E53</f>
        <v>535.83895184</v>
      </c>
    </row>
    <row r="55" customFormat="false" ht="30" hidden="false" customHeight="true" outlineLevel="0" collapsed="false">
      <c r="B55" s="67" t="s">
        <v>204</v>
      </c>
      <c r="C55" s="22" t="n">
        <f aca="false">'Historical Financials'!$C$35*Assumptions!$C$74</f>
        <v>60.55441</v>
      </c>
      <c r="D55" s="22" t="n">
        <f aca="false">'Historical Financials'!$C$35*Assumptions!$C$74</f>
        <v>60.55441</v>
      </c>
      <c r="E55" s="22" t="n">
        <f aca="false">'Historical Financials'!$C$35*Assumptions!$C$74</f>
        <v>60.55441</v>
      </c>
      <c r="F55" s="24" t="s">
        <v>205</v>
      </c>
    </row>
    <row r="56" customFormat="false" ht="15" hidden="false" customHeight="false" outlineLevel="0" collapsed="false">
      <c r="B56" s="68" t="s">
        <v>206</v>
      </c>
      <c r="C56" s="63" t="n">
        <f aca="false">C54+C55</f>
        <v>480.95991</v>
      </c>
      <c r="D56" s="63" t="n">
        <f aca="false">D54+D55</f>
        <v>545.0025316</v>
      </c>
      <c r="E56" s="63" t="n">
        <f aca="false">E54+E55</f>
        <v>596.39336184</v>
      </c>
    </row>
    <row r="57" customFormat="false" ht="15" hidden="false" customHeight="false" outlineLevel="0" collapsed="false">
      <c r="B57" s="66" t="s">
        <v>207</v>
      </c>
      <c r="C57" s="30" t="n">
        <f aca="false">MAX(C56,0)*Assumptions!$C$73</f>
        <v>101.0015811</v>
      </c>
      <c r="D57" s="30" t="n">
        <f aca="false">MAX(D56,0)*Assumptions!$C$73</f>
        <v>114.450531636</v>
      </c>
      <c r="E57" s="30" t="n">
        <f aca="false">MAX(E56,0)*Assumptions!$C$73</f>
        <v>125.2426059864</v>
      </c>
    </row>
    <row r="58" customFormat="false" ht="15" hidden="false" customHeight="false" outlineLevel="0" collapsed="false">
      <c r="B58" s="68" t="s">
        <v>208</v>
      </c>
      <c r="C58" s="63" t="n">
        <f aca="false">C56-C57</f>
        <v>379.9583289</v>
      </c>
      <c r="D58" s="63" t="n">
        <f aca="false">D56-D57</f>
        <v>430.551999964</v>
      </c>
      <c r="E58" s="63" t="n">
        <f aca="false">E56-E57</f>
        <v>471.1507558536</v>
      </c>
    </row>
    <row r="59" customFormat="false" ht="15" hidden="false" customHeight="false" outlineLevel="0" collapsed="false">
      <c r="B59" s="67" t="s">
        <v>209</v>
      </c>
      <c r="C59" s="61" t="n">
        <f aca="false">IFERROR(C58/C44,"-")</f>
        <v>0.118034304810425</v>
      </c>
      <c r="D59" s="61" t="n">
        <f aca="false">IFERROR(D58/D44,"-")</f>
        <v>0.121222263856579</v>
      </c>
      <c r="E59" s="61" t="n">
        <f aca="false">IFERROR(E58/E44,"-")</f>
        <v>0.122711847396757</v>
      </c>
    </row>
    <row r="60" customFormat="false" ht="15" hidden="false" customHeight="false" outlineLevel="0" collapsed="false">
      <c r="B60" s="66" t="s">
        <v>210</v>
      </c>
      <c r="C60" s="64" t="n">
        <f aca="false">'SBC &amp; Dilution Schedule'!C21</f>
        <v>273.972</v>
      </c>
      <c r="D60" s="64" t="n">
        <f aca="false">'SBC &amp; Dilution Schedule'!D21</f>
        <v>279.45144</v>
      </c>
      <c r="E60" s="64" t="n">
        <f aca="false">'SBC &amp; Dilution Schedule'!E21</f>
        <v>285.0404688</v>
      </c>
    </row>
    <row r="61" customFormat="false" ht="15" hidden="false" customHeight="false" outlineLevel="0" collapsed="false">
      <c r="B61" s="67" t="s">
        <v>211</v>
      </c>
      <c r="C61" s="17" t="n">
        <f aca="false">IFERROR(C58/C60,"-")</f>
        <v>1.38685095155709</v>
      </c>
      <c r="D61" s="17" t="n">
        <f aca="false">IFERROR(D58/D60,"-")</f>
        <v>1.54070417373408</v>
      </c>
      <c r="E61" s="17" t="n">
        <f aca="false">IFERROR(E58/E60,"-")</f>
        <v>1.65292583834538</v>
      </c>
    </row>
    <row r="62" customFormat="false" ht="15" hidden="false" customHeight="false" outlineLevel="0" collapsed="false">
      <c r="B62" s="67" t="s">
        <v>212</v>
      </c>
      <c r="C62" s="17" t="n">
        <f aca="false">IFERROR(C50/C60,"-")</f>
        <v>2.88568266100185</v>
      </c>
      <c r="D62" s="17" t="n">
        <f aca="false">IFERROR(D50/D60,"-")</f>
        <v>3.16976945976732</v>
      </c>
      <c r="E62" s="17" t="n">
        <f aca="false">IFERROR(E50/E60,"-")</f>
        <v>3.36156727791629</v>
      </c>
    </row>
    <row r="64" customFormat="false" ht="15" hidden="false" customHeight="false" outlineLevel="0" collapsed="false">
      <c r="B64" s="69" t="s">
        <v>49</v>
      </c>
      <c r="C64" s="69"/>
      <c r="D64" s="69"/>
      <c r="E64" s="69"/>
    </row>
    <row r="65" customFormat="false" ht="15" hidden="false" customHeight="false" outlineLevel="0" collapsed="false">
      <c r="B65" s="7"/>
      <c r="C65" s="12" t="s">
        <v>134</v>
      </c>
      <c r="D65" s="12" t="s">
        <v>135</v>
      </c>
      <c r="E65" s="12" t="s">
        <v>136</v>
      </c>
    </row>
    <row r="66" customFormat="false" ht="15" hidden="false" customHeight="false" outlineLevel="0" collapsed="false">
      <c r="B66" s="70" t="s">
        <v>95</v>
      </c>
      <c r="C66" s="59" t="n">
        <f aca="false">Assumptions!$C$81*(1+Assumptions!$C$10)</f>
        <v>101.655</v>
      </c>
      <c r="D66" s="59" t="n">
        <f aca="false">C66*(1+Assumptions!$D$10)</f>
        <v>134.1846</v>
      </c>
      <c r="E66" s="59" t="n">
        <f aca="false">D66*(1+Assumptions!$E$10)</f>
        <v>174.43998</v>
      </c>
    </row>
    <row r="67" customFormat="false" ht="15" hidden="false" customHeight="false" outlineLevel="0" collapsed="false">
      <c r="B67" s="71" t="s">
        <v>190</v>
      </c>
      <c r="C67" s="59" t="n">
        <f aca="false">(Assumptions!$C$81+C66)/2</f>
        <v>88.4775</v>
      </c>
      <c r="D67" s="59" t="n">
        <f aca="false">(C66+D66)/2</f>
        <v>117.9198</v>
      </c>
      <c r="E67" s="59" t="n">
        <f aca="false">(D66+E66)/2</f>
        <v>154.31229</v>
      </c>
    </row>
    <row r="68" customFormat="false" ht="15" hidden="false" customHeight="false" outlineLevel="0" collapsed="false">
      <c r="B68" s="70" t="s">
        <v>141</v>
      </c>
      <c r="C68" s="61" t="n">
        <f aca="false">Assumptions!$C$15</f>
        <v>0.036</v>
      </c>
      <c r="D68" s="61" t="n">
        <f aca="false">Assumptions!$D$15</f>
        <v>0.035</v>
      </c>
      <c r="E68" s="61" t="n">
        <f aca="false">Assumptions!$E$15</f>
        <v>0.033</v>
      </c>
    </row>
    <row r="69" customFormat="false" ht="15" hidden="false" customHeight="false" outlineLevel="0" collapsed="false">
      <c r="B69" s="70" t="s">
        <v>191</v>
      </c>
      <c r="C69" s="30" t="n">
        <f aca="false">C67*1000*C68</f>
        <v>3185.19</v>
      </c>
      <c r="D69" s="30" t="n">
        <f aca="false">D67*1000*D68</f>
        <v>4127.193</v>
      </c>
      <c r="E69" s="30" t="n">
        <f aca="false">E67*1000*E68</f>
        <v>5092.30557</v>
      </c>
    </row>
    <row r="70" customFormat="false" ht="15" hidden="false" customHeight="false" outlineLevel="0" collapsed="false">
      <c r="B70" s="71" t="s">
        <v>192</v>
      </c>
      <c r="C70" s="30" t="n">
        <f aca="false">Assumptions!$C$29</f>
        <v>180</v>
      </c>
      <c r="D70" s="30" t="n">
        <f aca="false">Assumptions!$D$29</f>
        <v>290</v>
      </c>
      <c r="E70" s="30" t="n">
        <f aca="false">Assumptions!$E$29</f>
        <v>430</v>
      </c>
    </row>
    <row r="71" customFormat="false" ht="15" hidden="false" customHeight="false" outlineLevel="0" collapsed="false">
      <c r="B71" s="71" t="s">
        <v>193</v>
      </c>
      <c r="C71" s="30" t="n">
        <f aca="false">Assumptions!$C$34</f>
        <v>140</v>
      </c>
      <c r="D71" s="30" t="n">
        <f aca="false">Assumptions!$D$34</f>
        <v>174</v>
      </c>
      <c r="E71" s="30" t="n">
        <f aca="false">Assumptions!$E$34</f>
        <v>243</v>
      </c>
    </row>
    <row r="72" customFormat="false" ht="15" hidden="false" customHeight="false" outlineLevel="0" collapsed="false">
      <c r="B72" s="70" t="s">
        <v>194</v>
      </c>
      <c r="C72" s="30" t="n">
        <f aca="false">C70+C71</f>
        <v>320</v>
      </c>
      <c r="D72" s="30" t="n">
        <f aca="false">D70+D71</f>
        <v>464</v>
      </c>
      <c r="E72" s="30" t="n">
        <f aca="false">E70+E71</f>
        <v>673</v>
      </c>
    </row>
    <row r="73" customFormat="false" ht="15" hidden="false" customHeight="false" outlineLevel="0" collapsed="false">
      <c r="B73" s="72" t="s">
        <v>195</v>
      </c>
      <c r="C73" s="63" t="n">
        <f aca="false">C69+C72</f>
        <v>3505.19</v>
      </c>
      <c r="D73" s="63" t="n">
        <f aca="false">D69+D72</f>
        <v>4591.193</v>
      </c>
      <c r="E73" s="63" t="n">
        <f aca="false">E69+E72</f>
        <v>5765.30557</v>
      </c>
    </row>
    <row r="75" customFormat="false" ht="15" hidden="false" customHeight="false" outlineLevel="0" collapsed="false">
      <c r="B75" s="70" t="s">
        <v>196</v>
      </c>
      <c r="C75" s="61" t="n">
        <f aca="false">Assumptions!$C$20</f>
        <v>0.45</v>
      </c>
      <c r="D75" s="61" t="n">
        <f aca="false">Assumptions!$D$20</f>
        <v>0.455</v>
      </c>
      <c r="E75" s="61" t="n">
        <f aca="false">Assumptions!$E$20</f>
        <v>0.46</v>
      </c>
    </row>
    <row r="76" customFormat="false" ht="15" hidden="false" customHeight="false" outlineLevel="0" collapsed="false">
      <c r="B76" s="70" t="s">
        <v>197</v>
      </c>
      <c r="C76" s="30" t="n">
        <f aca="false">C73*C75</f>
        <v>1577.3355</v>
      </c>
      <c r="D76" s="30" t="n">
        <f aca="false">D73*D75</f>
        <v>2088.992815</v>
      </c>
      <c r="E76" s="30" t="n">
        <f aca="false">E73*E75</f>
        <v>2652.0405622</v>
      </c>
    </row>
    <row r="77" customFormat="false" ht="15" hidden="false" customHeight="false" outlineLevel="0" collapsed="false">
      <c r="B77" s="71" t="s">
        <v>198</v>
      </c>
      <c r="C77" s="30" t="n">
        <f aca="false">C73-C76</f>
        <v>1927.8545</v>
      </c>
      <c r="D77" s="30" t="n">
        <f aca="false">D73-D76</f>
        <v>2502.200185</v>
      </c>
      <c r="E77" s="30" t="n">
        <f aca="false">E73-E76</f>
        <v>3113.2650078</v>
      </c>
    </row>
    <row r="78" customFormat="false" ht="15" hidden="false" customHeight="false" outlineLevel="0" collapsed="false">
      <c r="B78" s="70" t="s">
        <v>149</v>
      </c>
      <c r="C78" s="30" t="n">
        <f aca="false">Assumptions!$C$44</f>
        <v>577.5</v>
      </c>
      <c r="D78" s="30" t="n">
        <f aca="false">Assumptions!$D$44</f>
        <v>606.4</v>
      </c>
      <c r="E78" s="30" t="n">
        <f aca="false">Assumptions!$E$44</f>
        <v>636.7</v>
      </c>
    </row>
    <row r="79" customFormat="false" ht="15" hidden="false" customHeight="false" outlineLevel="0" collapsed="false">
      <c r="B79" s="72" t="s">
        <v>199</v>
      </c>
      <c r="C79" s="63" t="n">
        <f aca="false">C76-C78</f>
        <v>999.8355</v>
      </c>
      <c r="D79" s="63" t="n">
        <f aca="false">D76-D78</f>
        <v>1482.592815</v>
      </c>
      <c r="E79" s="63" t="n">
        <f aca="false">E76-E78</f>
        <v>2015.3405622</v>
      </c>
    </row>
    <row r="80" customFormat="false" ht="15" hidden="false" customHeight="false" outlineLevel="0" collapsed="false">
      <c r="B80" s="71" t="s">
        <v>200</v>
      </c>
      <c r="C80" s="61" t="n">
        <f aca="false">IFERROR(C79/C73,"-")</f>
        <v>0.285244309152999</v>
      </c>
      <c r="D80" s="61" t="n">
        <f aca="false">IFERROR(D79/D73,"-")</f>
        <v>0.322921039259295</v>
      </c>
      <c r="E80" s="61" t="n">
        <f aca="false">IFERROR(E79/E73,"-")</f>
        <v>0.349563529240654</v>
      </c>
    </row>
    <row r="81" customFormat="false" ht="15" hidden="false" customHeight="false" outlineLevel="0" collapsed="false">
      <c r="B81" s="70" t="s">
        <v>201</v>
      </c>
      <c r="C81" s="30" t="n">
        <f aca="false">C73*Assumptions!$C$61</f>
        <v>140.2076</v>
      </c>
      <c r="D81" s="30" t="n">
        <f aca="false">D73*Assumptions!$D$61</f>
        <v>206.603685</v>
      </c>
      <c r="E81" s="30" t="n">
        <f aca="false">E73*Assumptions!$E$61</f>
        <v>288.2652785</v>
      </c>
    </row>
    <row r="82" customFormat="false" ht="15" hidden="false" customHeight="false" outlineLevel="0" collapsed="false">
      <c r="B82" s="70" t="s">
        <v>202</v>
      </c>
      <c r="C82" s="22" t="n">
        <f aca="false">'SBC &amp; Dilution Schedule'!C30</f>
        <v>245.3633</v>
      </c>
      <c r="D82" s="22" t="n">
        <f aca="false">'SBC &amp; Dilution Schedule'!D30</f>
        <v>275.47158</v>
      </c>
      <c r="E82" s="22" t="n">
        <f aca="false">'SBC &amp; Dilution Schedule'!E30</f>
        <v>288.2652785</v>
      </c>
    </row>
    <row r="83" customFormat="false" ht="15" hidden="false" customHeight="false" outlineLevel="0" collapsed="false">
      <c r="B83" s="72" t="s">
        <v>203</v>
      </c>
      <c r="C83" s="63" t="n">
        <f aca="false">C79-C81-C82</f>
        <v>614.2646</v>
      </c>
      <c r="D83" s="63" t="n">
        <f aca="false">D79-D81-D82</f>
        <v>1000.51755</v>
      </c>
      <c r="E83" s="63" t="n">
        <f aca="false">E79-E81-E82</f>
        <v>1438.8100052</v>
      </c>
    </row>
    <row r="84" customFormat="false" ht="30" hidden="false" customHeight="true" outlineLevel="0" collapsed="false">
      <c r="B84" s="71" t="s">
        <v>204</v>
      </c>
      <c r="C84" s="22" t="n">
        <f aca="false">'Historical Financials'!$C$35*Assumptions!$C$74</f>
        <v>60.55441</v>
      </c>
      <c r="D84" s="22" t="n">
        <f aca="false">'Historical Financials'!$C$35*Assumptions!$C$74</f>
        <v>60.55441</v>
      </c>
      <c r="E84" s="22" t="n">
        <f aca="false">'Historical Financials'!$C$35*Assumptions!$C$74</f>
        <v>60.55441</v>
      </c>
      <c r="F84" s="24" t="s">
        <v>205</v>
      </c>
    </row>
    <row r="85" customFormat="false" ht="15" hidden="false" customHeight="false" outlineLevel="0" collapsed="false">
      <c r="B85" s="72" t="s">
        <v>206</v>
      </c>
      <c r="C85" s="63" t="n">
        <f aca="false">C83+C84</f>
        <v>674.81901</v>
      </c>
      <c r="D85" s="63" t="n">
        <f aca="false">D83+D84</f>
        <v>1061.07196</v>
      </c>
      <c r="E85" s="63" t="n">
        <f aca="false">E83+E84</f>
        <v>1499.3644152</v>
      </c>
    </row>
    <row r="86" customFormat="false" ht="15" hidden="false" customHeight="false" outlineLevel="0" collapsed="false">
      <c r="B86" s="70" t="s">
        <v>207</v>
      </c>
      <c r="C86" s="30" t="n">
        <f aca="false">MAX(C85,0)*Assumptions!$C$73</f>
        <v>141.7119921</v>
      </c>
      <c r="D86" s="30" t="n">
        <f aca="false">MAX(D85,0)*Assumptions!$C$73</f>
        <v>222.8251116</v>
      </c>
      <c r="E86" s="30" t="n">
        <f aca="false">MAX(E85,0)*Assumptions!$C$73</f>
        <v>314.866527192</v>
      </c>
    </row>
    <row r="87" customFormat="false" ht="15" hidden="false" customHeight="false" outlineLevel="0" collapsed="false">
      <c r="B87" s="72" t="s">
        <v>208</v>
      </c>
      <c r="C87" s="63" t="n">
        <f aca="false">C85-C86</f>
        <v>533.1070179</v>
      </c>
      <c r="D87" s="63" t="n">
        <f aca="false">D85-D86</f>
        <v>838.2468484</v>
      </c>
      <c r="E87" s="63" t="n">
        <f aca="false">E85-E86</f>
        <v>1184.497888008</v>
      </c>
    </row>
    <row r="88" customFormat="false" ht="15" hidden="false" customHeight="false" outlineLevel="0" collapsed="false">
      <c r="B88" s="71" t="s">
        <v>209</v>
      </c>
      <c r="C88" s="61" t="n">
        <f aca="false">IFERROR(C87/C73,"-")</f>
        <v>0.152090761955843</v>
      </c>
      <c r="D88" s="61" t="n">
        <f aca="false">IFERROR(D87/D73,"-")</f>
        <v>0.182577131564715</v>
      </c>
      <c r="E88" s="61" t="n">
        <f aca="false">IFERROR(E87/E73,"-")</f>
        <v>0.205452750704418</v>
      </c>
    </row>
    <row r="89" customFormat="false" ht="15" hidden="false" customHeight="false" outlineLevel="0" collapsed="false">
      <c r="B89" s="70" t="s">
        <v>210</v>
      </c>
      <c r="C89" s="64" t="n">
        <f aca="false">'SBC &amp; Dilution Schedule'!C31</f>
        <v>271.286</v>
      </c>
      <c r="D89" s="64" t="n">
        <f aca="false">'SBC &amp; Dilution Schedule'!D31</f>
        <v>273.99886</v>
      </c>
      <c r="E89" s="64" t="n">
        <f aca="false">'SBC &amp; Dilution Schedule'!E31</f>
        <v>276.7388486</v>
      </c>
    </row>
    <row r="90" customFormat="false" ht="15" hidden="false" customHeight="false" outlineLevel="0" collapsed="false">
      <c r="B90" s="71" t="s">
        <v>211</v>
      </c>
      <c r="C90" s="17" t="n">
        <f aca="false">IFERROR(C87/C89,"-")</f>
        <v>1.96511068724519</v>
      </c>
      <c r="D90" s="17" t="n">
        <f aca="false">IFERROR(D87/D89,"-")</f>
        <v>3.05930779566017</v>
      </c>
      <c r="E90" s="17" t="n">
        <f aca="false">IFERROR(E87/E89,"-")</f>
        <v>4.28020096925416</v>
      </c>
    </row>
    <row r="91" customFormat="false" ht="15" hidden="false" customHeight="false" outlineLevel="0" collapsed="false">
      <c r="B91" s="71" t="s">
        <v>212</v>
      </c>
      <c r="C91" s="17" t="n">
        <f aca="false">IFERROR(C79/C89,"-")</f>
        <v>3.68554035224818</v>
      </c>
      <c r="D91" s="17" t="n">
        <f aca="false">IFERROR(D79/D89,"-")</f>
        <v>5.41094519517344</v>
      </c>
      <c r="E91" s="17" t="n">
        <f aca="false">IFERROR(E79/E89,"-")</f>
        <v>7.2824634936347</v>
      </c>
    </row>
    <row r="94" customFormat="false" ht="60" hidden="false" customHeight="true" outlineLevel="0" collapsed="false">
      <c r="B94" s="19" t="s">
        <v>214</v>
      </c>
      <c r="C94" s="19"/>
      <c r="D94" s="19"/>
      <c r="E94" s="19"/>
      <c r="F94" s="19"/>
    </row>
  </sheetData>
  <mergeCells count="6">
    <mergeCell ref="A2:E2"/>
    <mergeCell ref="B3:F3"/>
    <mergeCell ref="B6:E6"/>
    <mergeCell ref="B35:E35"/>
    <mergeCell ref="B64:E64"/>
    <mergeCell ref="B94:F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4"/>
    <col collapsed="false" customWidth="true" hidden="false" outlineLevel="0" max="6" min="6" style="0" width="3"/>
  </cols>
  <sheetData>
    <row r="2" customFormat="false" ht="19.5" hidden="false" customHeight="true" outlineLevel="0" collapsed="false">
      <c r="A2" s="6" t="s">
        <v>215</v>
      </c>
      <c r="B2" s="6"/>
      <c r="C2" s="6"/>
      <c r="D2" s="6"/>
      <c r="E2" s="6"/>
    </row>
    <row r="3" customFormat="false" ht="61.5" hidden="false" customHeight="true" outlineLevel="0" collapsed="false">
      <c r="B3" s="19" t="s">
        <v>216</v>
      </c>
      <c r="C3" s="19"/>
      <c r="D3" s="19"/>
      <c r="E3" s="19"/>
      <c r="F3" s="19"/>
    </row>
    <row r="6" customFormat="false" ht="15" hidden="false" customHeight="false" outlineLevel="0" collapsed="false">
      <c r="B6" s="57" t="s">
        <v>54</v>
      </c>
      <c r="C6" s="57"/>
      <c r="D6" s="57"/>
      <c r="E6" s="57"/>
    </row>
    <row r="7" customFormat="false" ht="15" hidden="false" customHeight="false" outlineLevel="0" collapsed="false">
      <c r="B7" s="7"/>
      <c r="C7" s="12" t="s">
        <v>134</v>
      </c>
      <c r="D7" s="12" t="s">
        <v>135</v>
      </c>
      <c r="E7" s="12" t="s">
        <v>136</v>
      </c>
    </row>
    <row r="8" customFormat="false" ht="15" hidden="false" customHeight="false" outlineLevel="0" collapsed="false">
      <c r="B8" s="58" t="s">
        <v>217</v>
      </c>
      <c r="C8" s="22" t="n">
        <f aca="false">'Cash Flow Statement'!C17</f>
        <v>2300.80570015</v>
      </c>
      <c r="D8" s="22" t="n">
        <f aca="false">'Cash Flow Statement'!D17</f>
        <v>2769.016114506</v>
      </c>
      <c r="E8" s="22" t="n">
        <f aca="false">'Cash Flow Statement'!E17</f>
        <v>3103.06357229</v>
      </c>
    </row>
    <row r="9" customFormat="false" ht="15" hidden="false" customHeight="false" outlineLevel="0" collapsed="false">
      <c r="B9" s="58" t="s">
        <v>218</v>
      </c>
      <c r="C9" s="30" t="n">
        <f aca="false">'Historical Financials'!$C$36+'Cash Flow Statement'!C12-'Income Statement'!C23</f>
        <v>2414.05736</v>
      </c>
      <c r="D9" s="30" t="n">
        <f aca="false">C9+'Cash Flow Statement'!D12-'Income Statement'!D23</f>
        <v>2317.1521648</v>
      </c>
      <c r="E9" s="30" t="n">
        <f aca="false">D9+'Cash Flow Statement'!E12-'Income Statement'!E23</f>
        <v>2222.9845843</v>
      </c>
    </row>
    <row r="10" customFormat="false" ht="15" hidden="false" customHeight="false" outlineLevel="0" collapsed="false">
      <c r="B10" s="62" t="s">
        <v>219</v>
      </c>
      <c r="C10" s="63" t="n">
        <f aca="false">C8+C9</f>
        <v>4714.86306015</v>
      </c>
      <c r="D10" s="63" t="n">
        <f aca="false">D8+D9</f>
        <v>5086.168279306</v>
      </c>
      <c r="E10" s="63" t="n">
        <f aca="false">E8+E9</f>
        <v>5326.04815659</v>
      </c>
    </row>
    <row r="11" customFormat="false" ht="15" hidden="false" customHeight="false" outlineLevel="0" collapsed="false">
      <c r="B11" s="60" t="s">
        <v>220</v>
      </c>
      <c r="C11" s="22" t="n">
        <f aca="false">'Income Statement'!C8*1000</f>
        <v>82830</v>
      </c>
      <c r="D11" s="22" t="n">
        <f aca="false">'Income Statement'!D8*1000</f>
        <v>89456.4</v>
      </c>
      <c r="E11" s="22" t="n">
        <f aca="false">'Income Statement'!E8*1000</f>
        <v>94823.784</v>
      </c>
    </row>
    <row r="12" customFormat="false" ht="15" hidden="false" customHeight="false" outlineLevel="0" collapsed="false">
      <c r="B12" s="62" t="s">
        <v>221</v>
      </c>
      <c r="C12" s="63" t="n">
        <f aca="false">C10+C11</f>
        <v>87544.86306015</v>
      </c>
      <c r="D12" s="63" t="n">
        <f aca="false">D10+D11</f>
        <v>94542.568279306</v>
      </c>
      <c r="E12" s="63" t="n">
        <f aca="false">E10+E11</f>
        <v>100149.83215659</v>
      </c>
    </row>
    <row r="14" customFormat="false" ht="30" hidden="false" customHeight="true" outlineLevel="0" collapsed="false">
      <c r="B14" s="58" t="s">
        <v>222</v>
      </c>
      <c r="C14" s="22" t="n">
        <f aca="false">'Historical Financials'!$C$40</f>
        <v>727.941</v>
      </c>
      <c r="D14" s="22" t="n">
        <f aca="false">'Historical Financials'!$C$40</f>
        <v>727.941</v>
      </c>
      <c r="E14" s="22" t="n">
        <f aca="false">'Historical Financials'!$C$40</f>
        <v>727.941</v>
      </c>
      <c r="F14" s="24" t="s">
        <v>223</v>
      </c>
    </row>
    <row r="15" customFormat="false" ht="15" hidden="false" customHeight="false" outlineLevel="0" collapsed="false">
      <c r="B15" s="62" t="s">
        <v>224</v>
      </c>
      <c r="C15" s="63" t="n">
        <f aca="false">C14</f>
        <v>727.941</v>
      </c>
      <c r="D15" s="63" t="n">
        <f aca="false">D14</f>
        <v>727.941</v>
      </c>
      <c r="E15" s="63" t="n">
        <f aca="false">E14</f>
        <v>727.941</v>
      </c>
    </row>
    <row r="16" customFormat="false" ht="15" hidden="false" customHeight="false" outlineLevel="0" collapsed="false">
      <c r="B16" s="60" t="s">
        <v>225</v>
      </c>
      <c r="C16" s="22" t="n">
        <f aca="false">C11</f>
        <v>82830</v>
      </c>
      <c r="D16" s="22" t="n">
        <f aca="false">D11</f>
        <v>89456.4</v>
      </c>
      <c r="E16" s="22" t="n">
        <f aca="false">E11</f>
        <v>94823.784</v>
      </c>
    </row>
    <row r="17" customFormat="false" ht="15" hidden="false" customHeight="false" outlineLevel="0" collapsed="false">
      <c r="B17" s="62" t="s">
        <v>226</v>
      </c>
      <c r="C17" s="63" t="n">
        <f aca="false">C15+C16</f>
        <v>83557.941</v>
      </c>
      <c r="D17" s="63" t="n">
        <f aca="false">D15+D16</f>
        <v>90184.341</v>
      </c>
      <c r="E17" s="63" t="n">
        <f aca="false">E15+E16</f>
        <v>95551.725</v>
      </c>
    </row>
    <row r="19" customFormat="false" ht="15" hidden="false" customHeight="false" outlineLevel="0" collapsed="false">
      <c r="B19" s="73" t="s">
        <v>227</v>
      </c>
      <c r="C19" s="74" t="n">
        <f aca="false">'Historical Financials'!$C$45+'Income Statement'!C29+'SBC &amp; Dilution Schedule'!C10</f>
        <v>3986.92206015</v>
      </c>
      <c r="D19" s="74" t="n">
        <f aca="false">C19+'Income Statement'!D29+'SBC &amp; Dilution Schedule'!D10</f>
        <v>4358.227279306</v>
      </c>
      <c r="E19" s="74" t="n">
        <f aca="false">D19+'Income Statement'!E29+'SBC &amp; Dilution Schedule'!E10</f>
        <v>4598.10715659</v>
      </c>
    </row>
    <row r="21" customFormat="false" ht="15" hidden="false" customHeight="false" outlineLevel="0" collapsed="false">
      <c r="B21" s="62" t="s">
        <v>228</v>
      </c>
      <c r="C21" s="63" t="n">
        <f aca="false">C12-C17-C19</f>
        <v>0</v>
      </c>
      <c r="D21" s="63" t="n">
        <f aca="false">D12-D17-D19</f>
        <v>0</v>
      </c>
      <c r="E21" s="63" t="n">
        <f aca="false">E12-E17-E19</f>
        <v>0</v>
      </c>
    </row>
    <row r="23" customFormat="false" ht="15" hidden="false" customHeight="false" outlineLevel="0" collapsed="false">
      <c r="B23" s="65" t="s">
        <v>213</v>
      </c>
      <c r="C23" s="65"/>
      <c r="D23" s="65"/>
      <c r="E23" s="65"/>
    </row>
    <row r="24" customFormat="false" ht="15" hidden="false" customHeight="false" outlineLevel="0" collapsed="false">
      <c r="B24" s="7"/>
      <c r="C24" s="12" t="s">
        <v>134</v>
      </c>
      <c r="D24" s="12" t="s">
        <v>135</v>
      </c>
      <c r="E24" s="12" t="s">
        <v>136</v>
      </c>
    </row>
    <row r="25" customFormat="false" ht="15" hidden="false" customHeight="false" outlineLevel="0" collapsed="false">
      <c r="B25" s="66" t="s">
        <v>217</v>
      </c>
      <c r="C25" s="22" t="n">
        <f aca="false">'Cash Flow Statement'!C32</f>
        <v>2451.3036289</v>
      </c>
      <c r="D25" s="22" t="n">
        <f aca="false">'Cash Flow Statement'!D32</f>
        <v>3251.238336064</v>
      </c>
      <c r="E25" s="22" t="n">
        <f aca="false">'Cash Flow Statement'!E32</f>
        <v>4106.3379655176</v>
      </c>
    </row>
    <row r="26" customFormat="false" ht="15" hidden="false" customHeight="false" outlineLevel="0" collapsed="false">
      <c r="B26" s="66" t="s">
        <v>218</v>
      </c>
      <c r="C26" s="30" t="n">
        <f aca="false">'Historical Financials'!$C$36+'Cash Flow Statement'!C27-'Income Statement'!C52</f>
        <v>2407.99945</v>
      </c>
      <c r="D26" s="30" t="n">
        <f aca="false">C26+'Cash Flow Statement'!D27-'Income Statement'!D52</f>
        <v>2287.2397188</v>
      </c>
      <c r="E26" s="30" t="n">
        <f aca="false">D26+'Cash Flow Statement'!E27-'Income Statement'!E52</f>
        <v>2152.85761304</v>
      </c>
    </row>
    <row r="27" customFormat="false" ht="15" hidden="false" customHeight="false" outlineLevel="0" collapsed="false">
      <c r="B27" s="68" t="s">
        <v>219</v>
      </c>
      <c r="C27" s="63" t="n">
        <f aca="false">C25+C26</f>
        <v>4859.3030789</v>
      </c>
      <c r="D27" s="63" t="n">
        <f aca="false">D25+D26</f>
        <v>5538.478054864</v>
      </c>
      <c r="E27" s="63" t="n">
        <f aca="false">E25+E26</f>
        <v>6259.1955785576</v>
      </c>
    </row>
    <row r="28" customFormat="false" ht="15" hidden="false" customHeight="false" outlineLevel="0" collapsed="false">
      <c r="B28" s="67" t="s">
        <v>220</v>
      </c>
      <c r="C28" s="22" t="n">
        <f aca="false">'Income Statement'!C37*1000</f>
        <v>90360</v>
      </c>
      <c r="D28" s="22" t="n">
        <f aca="false">'Income Statement'!D37*1000</f>
        <v>106624.8</v>
      </c>
      <c r="E28" s="22" t="n">
        <f aca="false">'Income Statement'!E37*1000</f>
        <v>123684.768</v>
      </c>
    </row>
    <row r="29" customFormat="false" ht="15" hidden="false" customHeight="false" outlineLevel="0" collapsed="false">
      <c r="B29" s="68" t="s">
        <v>221</v>
      </c>
      <c r="C29" s="63" t="n">
        <f aca="false">C27+C28</f>
        <v>95219.3030789</v>
      </c>
      <c r="D29" s="63" t="n">
        <f aca="false">D27+D28</f>
        <v>112163.278054864</v>
      </c>
      <c r="E29" s="63" t="n">
        <f aca="false">E27+E28</f>
        <v>129943.963578558</v>
      </c>
    </row>
    <row r="31" customFormat="false" ht="30" hidden="false" customHeight="true" outlineLevel="0" collapsed="false">
      <c r="B31" s="66" t="s">
        <v>222</v>
      </c>
      <c r="C31" s="22" t="n">
        <f aca="false">'Historical Financials'!$C$40</f>
        <v>727.941</v>
      </c>
      <c r="D31" s="22" t="n">
        <f aca="false">'Historical Financials'!$C$40</f>
        <v>727.941</v>
      </c>
      <c r="E31" s="22" t="n">
        <f aca="false">'Historical Financials'!$C$40</f>
        <v>727.941</v>
      </c>
      <c r="F31" s="24" t="s">
        <v>223</v>
      </c>
    </row>
    <row r="32" customFormat="false" ht="15" hidden="false" customHeight="false" outlineLevel="0" collapsed="false">
      <c r="B32" s="68" t="s">
        <v>224</v>
      </c>
      <c r="C32" s="63" t="n">
        <f aca="false">C31</f>
        <v>727.941</v>
      </c>
      <c r="D32" s="63" t="n">
        <f aca="false">D31</f>
        <v>727.941</v>
      </c>
      <c r="E32" s="63" t="n">
        <f aca="false">E31</f>
        <v>727.941</v>
      </c>
    </row>
    <row r="33" customFormat="false" ht="15" hidden="false" customHeight="false" outlineLevel="0" collapsed="false">
      <c r="B33" s="67" t="s">
        <v>225</v>
      </c>
      <c r="C33" s="22" t="n">
        <f aca="false">C28</f>
        <v>90360</v>
      </c>
      <c r="D33" s="22" t="n">
        <f aca="false">D28</f>
        <v>106624.8</v>
      </c>
      <c r="E33" s="22" t="n">
        <f aca="false">E28</f>
        <v>123684.768</v>
      </c>
    </row>
    <row r="34" customFormat="false" ht="15" hidden="false" customHeight="false" outlineLevel="0" collapsed="false">
      <c r="B34" s="68" t="s">
        <v>226</v>
      </c>
      <c r="C34" s="63" t="n">
        <f aca="false">C32+C33</f>
        <v>91087.941</v>
      </c>
      <c r="D34" s="63" t="n">
        <f aca="false">D32+D33</f>
        <v>107352.741</v>
      </c>
      <c r="E34" s="63" t="n">
        <f aca="false">E32+E33</f>
        <v>124412.709</v>
      </c>
    </row>
    <row r="36" customFormat="false" ht="15" hidden="false" customHeight="false" outlineLevel="0" collapsed="false">
      <c r="B36" s="73" t="s">
        <v>227</v>
      </c>
      <c r="C36" s="74" t="n">
        <f aca="false">'Historical Financials'!$C$45+'Income Statement'!C58+'SBC &amp; Dilution Schedule'!C20</f>
        <v>4131.3620789</v>
      </c>
      <c r="D36" s="74" t="n">
        <f aca="false">C36+'Income Statement'!D58+'SBC &amp; Dilution Schedule'!D20</f>
        <v>4810.537054864</v>
      </c>
      <c r="E36" s="74" t="n">
        <f aca="false">D36+'Income Statement'!E58+'SBC &amp; Dilution Schedule'!E20</f>
        <v>5531.2545785576</v>
      </c>
    </row>
    <row r="38" customFormat="false" ht="15" hidden="false" customHeight="false" outlineLevel="0" collapsed="false">
      <c r="B38" s="68" t="s">
        <v>228</v>
      </c>
      <c r="C38" s="63" t="n">
        <f aca="false">C29-C34-C36</f>
        <v>0</v>
      </c>
      <c r="D38" s="63" t="n">
        <f aca="false">D29-D34-D36</f>
        <v>0</v>
      </c>
      <c r="E38" s="63" t="n">
        <f aca="false">E29-E34-E36</f>
        <v>0</v>
      </c>
    </row>
    <row r="40" customFormat="false" ht="15" hidden="false" customHeight="false" outlineLevel="0" collapsed="false">
      <c r="B40" s="69" t="s">
        <v>49</v>
      </c>
      <c r="C40" s="69"/>
      <c r="D40" s="69"/>
      <c r="E40" s="69"/>
    </row>
    <row r="41" customFormat="false" ht="15" hidden="false" customHeight="false" outlineLevel="0" collapsed="false">
      <c r="B41" s="7"/>
      <c r="C41" s="12" t="s">
        <v>134</v>
      </c>
      <c r="D41" s="12" t="s">
        <v>135</v>
      </c>
      <c r="E41" s="12" t="s">
        <v>136</v>
      </c>
    </row>
    <row r="42" customFormat="false" ht="15" hidden="false" customHeight="false" outlineLevel="0" collapsed="false">
      <c r="B42" s="70" t="s">
        <v>217</v>
      </c>
      <c r="C42" s="22" t="n">
        <f aca="false">'Cash Flow Statement'!C47</f>
        <v>2613.7520179</v>
      </c>
      <c r="D42" s="22" t="n">
        <f aca="false">'Cash Flow Statement'!D47</f>
        <v>3878.9798153</v>
      </c>
      <c r="E42" s="22" t="n">
        <f aca="false">'Cash Flow Statement'!E47</f>
        <v>5559.293982328</v>
      </c>
    </row>
    <row r="43" customFormat="false" ht="15" hidden="false" customHeight="false" outlineLevel="0" collapsed="false">
      <c r="B43" s="70" t="s">
        <v>218</v>
      </c>
      <c r="C43" s="30" t="n">
        <f aca="false">'Historical Financials'!$C$36+'Cash Flow Statement'!C42-'Income Statement'!C81</f>
        <v>2402.6343</v>
      </c>
      <c r="D43" s="30" t="n">
        <f aca="false">C43+'Cash Flow Statement'!D42-'Income Statement'!D81</f>
        <v>2251.124931</v>
      </c>
      <c r="E43" s="30" t="n">
        <f aca="false">D43+'Cash Flow Statement'!E42-'Income Statement'!E81</f>
        <v>2043.57393048</v>
      </c>
    </row>
    <row r="44" customFormat="false" ht="15" hidden="false" customHeight="false" outlineLevel="0" collapsed="false">
      <c r="B44" s="72" t="s">
        <v>219</v>
      </c>
      <c r="C44" s="63" t="n">
        <f aca="false">C42+C43</f>
        <v>5016.3863179</v>
      </c>
      <c r="D44" s="63" t="n">
        <f aca="false">D42+D43</f>
        <v>6130.1047463</v>
      </c>
      <c r="E44" s="63" t="n">
        <f aca="false">E42+E43</f>
        <v>7602.867912808</v>
      </c>
    </row>
    <row r="45" customFormat="false" ht="15" hidden="false" customHeight="false" outlineLevel="0" collapsed="false">
      <c r="B45" s="71" t="s">
        <v>220</v>
      </c>
      <c r="C45" s="22" t="n">
        <f aca="false">'Income Statement'!C66*1000</f>
        <v>101655</v>
      </c>
      <c r="D45" s="22" t="n">
        <f aca="false">'Income Statement'!D66*1000</f>
        <v>134184.6</v>
      </c>
      <c r="E45" s="22" t="n">
        <f aca="false">'Income Statement'!E66*1000</f>
        <v>174439.98</v>
      </c>
    </row>
    <row r="46" customFormat="false" ht="15" hidden="false" customHeight="false" outlineLevel="0" collapsed="false">
      <c r="B46" s="72" t="s">
        <v>221</v>
      </c>
      <c r="C46" s="63" t="n">
        <f aca="false">C44+C45</f>
        <v>106671.3863179</v>
      </c>
      <c r="D46" s="63" t="n">
        <f aca="false">D44+D45</f>
        <v>140314.7047463</v>
      </c>
      <c r="E46" s="63" t="n">
        <f aca="false">E44+E45</f>
        <v>182042.847912808</v>
      </c>
    </row>
    <row r="48" customFormat="false" ht="30" hidden="false" customHeight="true" outlineLevel="0" collapsed="false">
      <c r="B48" s="70" t="s">
        <v>222</v>
      </c>
      <c r="C48" s="22" t="n">
        <f aca="false">'Historical Financials'!$C$40</f>
        <v>727.941</v>
      </c>
      <c r="D48" s="22" t="n">
        <f aca="false">'Historical Financials'!$C$40</f>
        <v>727.941</v>
      </c>
      <c r="E48" s="22" t="n">
        <f aca="false">'Historical Financials'!$C$40</f>
        <v>727.941</v>
      </c>
      <c r="F48" s="24" t="s">
        <v>223</v>
      </c>
    </row>
    <row r="49" customFormat="false" ht="15" hidden="false" customHeight="false" outlineLevel="0" collapsed="false">
      <c r="B49" s="72" t="s">
        <v>224</v>
      </c>
      <c r="C49" s="63" t="n">
        <f aca="false">C48</f>
        <v>727.941</v>
      </c>
      <c r="D49" s="63" t="n">
        <f aca="false">D48</f>
        <v>727.941</v>
      </c>
      <c r="E49" s="63" t="n">
        <f aca="false">E48</f>
        <v>727.941</v>
      </c>
    </row>
    <row r="50" customFormat="false" ht="15" hidden="false" customHeight="false" outlineLevel="0" collapsed="false">
      <c r="B50" s="71" t="s">
        <v>225</v>
      </c>
      <c r="C50" s="22" t="n">
        <f aca="false">C45</f>
        <v>101655</v>
      </c>
      <c r="D50" s="22" t="n">
        <f aca="false">D45</f>
        <v>134184.6</v>
      </c>
      <c r="E50" s="22" t="n">
        <f aca="false">E45</f>
        <v>174439.98</v>
      </c>
    </row>
    <row r="51" customFormat="false" ht="15" hidden="false" customHeight="false" outlineLevel="0" collapsed="false">
      <c r="B51" s="72" t="s">
        <v>226</v>
      </c>
      <c r="C51" s="63" t="n">
        <f aca="false">C49+C50</f>
        <v>102382.941</v>
      </c>
      <c r="D51" s="63" t="n">
        <f aca="false">D49+D50</f>
        <v>134912.541</v>
      </c>
      <c r="E51" s="63" t="n">
        <f aca="false">E49+E50</f>
        <v>175167.921</v>
      </c>
    </row>
    <row r="53" customFormat="false" ht="15" hidden="false" customHeight="false" outlineLevel="0" collapsed="false">
      <c r="B53" s="73" t="s">
        <v>227</v>
      </c>
      <c r="C53" s="74" t="n">
        <f aca="false">'Historical Financials'!$C$45+'Income Statement'!C87+'SBC &amp; Dilution Schedule'!C30</f>
        <v>4288.4453179</v>
      </c>
      <c r="D53" s="74" t="n">
        <f aca="false">C53+'Income Statement'!D87+'SBC &amp; Dilution Schedule'!D30</f>
        <v>5402.1637463</v>
      </c>
      <c r="E53" s="74" t="n">
        <f aca="false">D53+'Income Statement'!E87+'SBC &amp; Dilution Schedule'!E30</f>
        <v>6874.926912808</v>
      </c>
    </row>
    <row r="55" customFormat="false" ht="15" hidden="false" customHeight="false" outlineLevel="0" collapsed="false">
      <c r="B55" s="72" t="s">
        <v>228</v>
      </c>
      <c r="C55" s="63" t="n">
        <f aca="false">C46-C51-C53</f>
        <v>0</v>
      </c>
      <c r="D55" s="63" t="n">
        <f aca="false">D46-D51-D53</f>
        <v>0</v>
      </c>
      <c r="E55" s="63" t="n">
        <f aca="false">E46-E51-E53</f>
        <v>0</v>
      </c>
    </row>
    <row r="58" customFormat="false" ht="48" hidden="false" customHeight="true" outlineLevel="0" collapsed="false">
      <c r="B58" s="19" t="s">
        <v>229</v>
      </c>
      <c r="C58" s="19"/>
      <c r="D58" s="19"/>
      <c r="E58" s="19"/>
      <c r="F58" s="19"/>
    </row>
  </sheetData>
  <mergeCells count="6">
    <mergeCell ref="A2:E2"/>
    <mergeCell ref="B3:F3"/>
    <mergeCell ref="B6:E6"/>
    <mergeCell ref="B23:E23"/>
    <mergeCell ref="B40:E40"/>
    <mergeCell ref="B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4"/>
    <col collapsed="false" customWidth="true" hidden="false" outlineLevel="0" max="6" min="6" style="0" width="3"/>
  </cols>
  <sheetData>
    <row r="2" customFormat="false" ht="19.5" hidden="false" customHeight="true" outlineLevel="0" collapsed="false">
      <c r="A2" s="6" t="s">
        <v>230</v>
      </c>
      <c r="B2" s="6"/>
      <c r="C2" s="6"/>
      <c r="D2" s="6"/>
      <c r="E2" s="6"/>
    </row>
    <row r="3" customFormat="false" ht="48" hidden="false" customHeight="true" outlineLevel="0" collapsed="false">
      <c r="B3" s="19" t="s">
        <v>231</v>
      </c>
      <c r="C3" s="19"/>
      <c r="D3" s="19"/>
      <c r="E3" s="19"/>
      <c r="F3" s="19"/>
    </row>
    <row r="6" customFormat="false" ht="15" hidden="false" customHeight="false" outlineLevel="0" collapsed="false">
      <c r="B6" s="57" t="s">
        <v>54</v>
      </c>
      <c r="C6" s="57"/>
      <c r="D6" s="57"/>
      <c r="E6" s="57"/>
    </row>
    <row r="7" customFormat="false" ht="15" hidden="false" customHeight="false" outlineLevel="0" collapsed="false">
      <c r="B7" s="7"/>
      <c r="C7" s="12" t="s">
        <v>134</v>
      </c>
      <c r="D7" s="12" t="s">
        <v>135</v>
      </c>
      <c r="E7" s="12" t="s">
        <v>136</v>
      </c>
    </row>
    <row r="8" customFormat="false" ht="15" hidden="false" customHeight="false" outlineLevel="0" collapsed="false">
      <c r="B8" s="58" t="s">
        <v>232</v>
      </c>
      <c r="C8" s="22" t="n">
        <f aca="false">'Income Statement'!C29</f>
        <v>227.96973515</v>
      </c>
      <c r="D8" s="22" t="n">
        <f aca="false">'Income Statement'!D29</f>
        <v>129.042231156</v>
      </c>
      <c r="E8" s="22" t="n">
        <f aca="false">'Income Statement'!E29</f>
        <v>11.1871817840001</v>
      </c>
    </row>
    <row r="9" customFormat="false" ht="15" hidden="false" customHeight="false" outlineLevel="0" collapsed="false">
      <c r="B9" s="58" t="s">
        <v>233</v>
      </c>
      <c r="C9" s="22" t="n">
        <f aca="false">'Income Statement'!C23</f>
        <v>117.1658</v>
      </c>
      <c r="D9" s="22" t="n">
        <f aca="false">'Income Statement'!D23</f>
        <v>119.7064176</v>
      </c>
      <c r="E9" s="22" t="n">
        <f aca="false">'Income Statement'!E23</f>
        <v>115.6915989</v>
      </c>
    </row>
    <row r="10" customFormat="false" ht="15" hidden="false" customHeight="false" outlineLevel="0" collapsed="false">
      <c r="B10" s="58" t="s">
        <v>234</v>
      </c>
      <c r="C10" s="22" t="n">
        <f aca="false">'SBC &amp; Dilution Schedule'!C10</f>
        <v>248.977325</v>
      </c>
      <c r="D10" s="22" t="n">
        <f aca="false">'SBC &amp; Dilution Schedule'!D10</f>
        <v>242.262988</v>
      </c>
      <c r="E10" s="22" t="n">
        <f aca="false">'SBC &amp; Dilution Schedule'!E10</f>
        <v>228.6926955</v>
      </c>
    </row>
    <row r="11" customFormat="false" ht="15" hidden="false" customHeight="false" outlineLevel="0" collapsed="false">
      <c r="B11" s="62" t="s">
        <v>235</v>
      </c>
      <c r="C11" s="63" t="n">
        <f aca="false">C8+C9+C10</f>
        <v>594.11286015</v>
      </c>
      <c r="D11" s="63" t="n">
        <f aca="false">D8+D9+D10</f>
        <v>491.011636756</v>
      </c>
      <c r="E11" s="63" t="n">
        <f aca="false">E8+E9+E10</f>
        <v>355.571476184</v>
      </c>
    </row>
    <row r="12" customFormat="false" ht="15" hidden="false" customHeight="false" outlineLevel="0" collapsed="false">
      <c r="B12" s="58" t="s">
        <v>236</v>
      </c>
      <c r="C12" s="30" t="n">
        <f aca="false">'Income Statement'!C15*Assumptions!$C$66</f>
        <v>23.43316</v>
      </c>
      <c r="D12" s="30" t="n">
        <f aca="false">'Income Statement'!D15*Assumptions!$D$66</f>
        <v>22.8012224</v>
      </c>
      <c r="E12" s="30" t="n">
        <f aca="false">'Income Statement'!E15*Assumptions!$E$66</f>
        <v>21.5240184</v>
      </c>
    </row>
    <row r="13" customFormat="false" ht="15" hidden="false" customHeight="false" outlineLevel="0" collapsed="false">
      <c r="B13" s="62" t="s">
        <v>237</v>
      </c>
      <c r="C13" s="63" t="n">
        <f aca="false">-C12</f>
        <v>-23.43316</v>
      </c>
      <c r="D13" s="63" t="n">
        <f aca="false">-D12</f>
        <v>-22.8012224</v>
      </c>
      <c r="E13" s="63" t="n">
        <f aca="false">-E12</f>
        <v>-21.5240184</v>
      </c>
    </row>
    <row r="14" customFormat="false" ht="15" hidden="false" customHeight="false" outlineLevel="0" collapsed="false">
      <c r="B14" s="62" t="s">
        <v>238</v>
      </c>
      <c r="C14" s="63" t="n">
        <v>0</v>
      </c>
      <c r="D14" s="63" t="n">
        <v>0</v>
      </c>
      <c r="E14" s="63" t="n">
        <v>0</v>
      </c>
      <c r="F14" s="3" t="s">
        <v>239</v>
      </c>
    </row>
    <row r="15" customFormat="false" ht="15" hidden="false" customHeight="false" outlineLevel="0" collapsed="false">
      <c r="B15" s="62" t="s">
        <v>240</v>
      </c>
      <c r="C15" s="63" t="n">
        <f aca="false">C11+C13+C14</f>
        <v>570.67970015</v>
      </c>
      <c r="D15" s="63" t="n">
        <f aca="false">D11+D13+D14</f>
        <v>468.210414356</v>
      </c>
      <c r="E15" s="63" t="n">
        <f aca="false">E11+E13+E14</f>
        <v>334.047457784</v>
      </c>
    </row>
    <row r="16" customFormat="false" ht="15" hidden="false" customHeight="false" outlineLevel="0" collapsed="false">
      <c r="B16" s="58" t="s">
        <v>241</v>
      </c>
      <c r="C16" s="22" t="n">
        <f aca="false">'Historical Financials'!$C$35</f>
        <v>1730.126</v>
      </c>
      <c r="D16" s="30" t="n">
        <f aca="false">C17</f>
        <v>2300.80570015</v>
      </c>
      <c r="E16" s="30" t="n">
        <f aca="false">D17</f>
        <v>2769.016114506</v>
      </c>
    </row>
    <row r="17" customFormat="false" ht="15" hidden="false" customHeight="false" outlineLevel="0" collapsed="false">
      <c r="B17" s="62" t="s">
        <v>242</v>
      </c>
      <c r="C17" s="63" t="n">
        <f aca="false">C16+C15</f>
        <v>2300.80570015</v>
      </c>
      <c r="D17" s="63" t="n">
        <f aca="false">D16+D15</f>
        <v>2769.016114506</v>
      </c>
      <c r="E17" s="63" t="n">
        <f aca="false">E16+E15</f>
        <v>3103.06357229</v>
      </c>
    </row>
    <row r="19" customFormat="false" ht="15" hidden="false" customHeight="false" outlineLevel="0" collapsed="false">
      <c r="B19" s="62" t="s">
        <v>243</v>
      </c>
      <c r="C19" s="74" t="n">
        <f aca="false">C11-C12</f>
        <v>570.67970015</v>
      </c>
      <c r="D19" s="74" t="n">
        <f aca="false">D11-D12</f>
        <v>468.210414356</v>
      </c>
      <c r="E19" s="74" t="n">
        <f aca="false">E11-E12</f>
        <v>334.047457784</v>
      </c>
    </row>
    <row r="21" customFormat="false" ht="15" hidden="false" customHeight="false" outlineLevel="0" collapsed="false">
      <c r="B21" s="65" t="s">
        <v>213</v>
      </c>
      <c r="C21" s="65"/>
      <c r="D21" s="65"/>
      <c r="E21" s="65"/>
    </row>
    <row r="22" customFormat="false" ht="15" hidden="false" customHeight="false" outlineLevel="0" collapsed="false">
      <c r="B22" s="7"/>
      <c r="C22" s="12" t="s">
        <v>134</v>
      </c>
      <c r="D22" s="12" t="s">
        <v>135</v>
      </c>
      <c r="E22" s="12" t="s">
        <v>136</v>
      </c>
    </row>
    <row r="23" customFormat="false" ht="15" hidden="false" customHeight="false" outlineLevel="0" collapsed="false">
      <c r="B23" s="66" t="s">
        <v>232</v>
      </c>
      <c r="C23" s="22" t="n">
        <f aca="false">'Income Statement'!C58</f>
        <v>379.9583289</v>
      </c>
      <c r="D23" s="22" t="n">
        <f aca="false">'Income Statement'!D58</f>
        <v>430.551999964</v>
      </c>
      <c r="E23" s="22" t="n">
        <f aca="false">'Income Statement'!E58</f>
        <v>471.1507558536</v>
      </c>
    </row>
    <row r="24" customFormat="false" ht="15" hidden="false" customHeight="false" outlineLevel="0" collapsed="false">
      <c r="B24" s="66" t="s">
        <v>233</v>
      </c>
      <c r="C24" s="22" t="n">
        <f aca="false">'Income Statement'!C52</f>
        <v>128.762</v>
      </c>
      <c r="D24" s="22" t="n">
        <f aca="false">'Income Statement'!D52</f>
        <v>152.7255424</v>
      </c>
      <c r="E24" s="22" t="n">
        <f aca="false">'Income Statement'!E52</f>
        <v>172.77699312</v>
      </c>
    </row>
    <row r="25" customFormat="false" ht="15" hidden="false" customHeight="false" outlineLevel="0" collapsed="false">
      <c r="B25" s="66" t="s">
        <v>234</v>
      </c>
      <c r="C25" s="22" t="n">
        <f aca="false">'SBC &amp; Dilution Schedule'!C20</f>
        <v>241.42875</v>
      </c>
      <c r="D25" s="22" t="n">
        <f aca="false">'SBC &amp; Dilution Schedule'!D20</f>
        <v>248.622976</v>
      </c>
      <c r="E25" s="22" t="n">
        <f aca="false">'SBC &amp; Dilution Schedule'!E20</f>
        <v>249.56676784</v>
      </c>
    </row>
    <row r="26" customFormat="false" ht="15" hidden="false" customHeight="false" outlineLevel="0" collapsed="false">
      <c r="B26" s="68" t="s">
        <v>235</v>
      </c>
      <c r="C26" s="63" t="n">
        <f aca="false">C23+C24+C25</f>
        <v>750.1490789</v>
      </c>
      <c r="D26" s="63" t="n">
        <f aca="false">D23+D24+D25</f>
        <v>831.900518364</v>
      </c>
      <c r="E26" s="63" t="n">
        <f aca="false">E23+E24+E25</f>
        <v>893.4945168136</v>
      </c>
    </row>
    <row r="27" customFormat="false" ht="15" hidden="false" customHeight="false" outlineLevel="0" collapsed="false">
      <c r="B27" s="66" t="s">
        <v>236</v>
      </c>
      <c r="C27" s="30" t="n">
        <f aca="false">'Income Statement'!C44*Assumptions!$C$67</f>
        <v>28.97145</v>
      </c>
      <c r="D27" s="30" t="n">
        <f aca="false">'Income Statement'!D44*Assumptions!$D$67</f>
        <v>31.9658112</v>
      </c>
      <c r="E27" s="30" t="n">
        <f aca="false">'Income Statement'!E44*Assumptions!$E$67</f>
        <v>38.39488736</v>
      </c>
    </row>
    <row r="28" customFormat="false" ht="15" hidden="false" customHeight="false" outlineLevel="0" collapsed="false">
      <c r="B28" s="68" t="s">
        <v>237</v>
      </c>
      <c r="C28" s="63" t="n">
        <f aca="false">-C27</f>
        <v>-28.97145</v>
      </c>
      <c r="D28" s="63" t="n">
        <f aca="false">-D27</f>
        <v>-31.9658112</v>
      </c>
      <c r="E28" s="63" t="n">
        <f aca="false">-E27</f>
        <v>-38.39488736</v>
      </c>
    </row>
    <row r="29" customFormat="false" ht="15" hidden="false" customHeight="false" outlineLevel="0" collapsed="false">
      <c r="B29" s="68" t="s">
        <v>238</v>
      </c>
      <c r="C29" s="63" t="n">
        <v>0</v>
      </c>
      <c r="D29" s="63" t="n">
        <v>0</v>
      </c>
      <c r="E29" s="63" t="n">
        <v>0</v>
      </c>
      <c r="F29" s="3" t="s">
        <v>239</v>
      </c>
    </row>
    <row r="30" customFormat="false" ht="15" hidden="false" customHeight="false" outlineLevel="0" collapsed="false">
      <c r="B30" s="68" t="s">
        <v>240</v>
      </c>
      <c r="C30" s="63" t="n">
        <f aca="false">C26+C28+C29</f>
        <v>721.1776289</v>
      </c>
      <c r="D30" s="63" t="n">
        <f aca="false">D26+D28+D29</f>
        <v>799.934707164</v>
      </c>
      <c r="E30" s="63" t="n">
        <f aca="false">E26+E28+E29</f>
        <v>855.0996294536</v>
      </c>
    </row>
    <row r="31" customFormat="false" ht="15" hidden="false" customHeight="false" outlineLevel="0" collapsed="false">
      <c r="B31" s="66" t="s">
        <v>241</v>
      </c>
      <c r="C31" s="22" t="n">
        <f aca="false">'Historical Financials'!$C$35</f>
        <v>1730.126</v>
      </c>
      <c r="D31" s="30" t="n">
        <f aca="false">C32</f>
        <v>2451.3036289</v>
      </c>
      <c r="E31" s="30" t="n">
        <f aca="false">D32</f>
        <v>3251.238336064</v>
      </c>
    </row>
    <row r="32" customFormat="false" ht="15" hidden="false" customHeight="false" outlineLevel="0" collapsed="false">
      <c r="B32" s="68" t="s">
        <v>242</v>
      </c>
      <c r="C32" s="63" t="n">
        <f aca="false">C31+C30</f>
        <v>2451.3036289</v>
      </c>
      <c r="D32" s="63" t="n">
        <f aca="false">D31+D30</f>
        <v>3251.238336064</v>
      </c>
      <c r="E32" s="63" t="n">
        <f aca="false">E31+E30</f>
        <v>4106.3379655176</v>
      </c>
    </row>
    <row r="34" customFormat="false" ht="15" hidden="false" customHeight="false" outlineLevel="0" collapsed="false">
      <c r="B34" s="68" t="s">
        <v>243</v>
      </c>
      <c r="C34" s="74" t="n">
        <f aca="false">C26-C27</f>
        <v>721.1776289</v>
      </c>
      <c r="D34" s="74" t="n">
        <f aca="false">D26-D27</f>
        <v>799.934707164</v>
      </c>
      <c r="E34" s="74" t="n">
        <f aca="false">E26-E27</f>
        <v>855.0996294536</v>
      </c>
    </row>
    <row r="36" customFormat="false" ht="15" hidden="false" customHeight="false" outlineLevel="0" collapsed="false">
      <c r="B36" s="69" t="s">
        <v>49</v>
      </c>
      <c r="C36" s="69"/>
      <c r="D36" s="69"/>
      <c r="E36" s="69"/>
    </row>
    <row r="37" customFormat="false" ht="15" hidden="false" customHeight="false" outlineLevel="0" collapsed="false">
      <c r="B37" s="7"/>
      <c r="C37" s="12" t="s">
        <v>134</v>
      </c>
      <c r="D37" s="12" t="s">
        <v>135</v>
      </c>
      <c r="E37" s="12" t="s">
        <v>136</v>
      </c>
    </row>
    <row r="38" customFormat="false" ht="15" hidden="false" customHeight="false" outlineLevel="0" collapsed="false">
      <c r="B38" s="70" t="s">
        <v>232</v>
      </c>
      <c r="C38" s="22" t="n">
        <f aca="false">'Income Statement'!C87</f>
        <v>533.1070179</v>
      </c>
      <c r="D38" s="22" t="n">
        <f aca="false">'Income Statement'!D87</f>
        <v>838.2468484</v>
      </c>
      <c r="E38" s="22" t="n">
        <f aca="false">'Income Statement'!E87</f>
        <v>1184.497888008</v>
      </c>
    </row>
    <row r="39" customFormat="false" ht="15" hidden="false" customHeight="false" outlineLevel="0" collapsed="false">
      <c r="B39" s="70" t="s">
        <v>233</v>
      </c>
      <c r="C39" s="22" t="n">
        <f aca="false">'Income Statement'!C81</f>
        <v>140.2076</v>
      </c>
      <c r="D39" s="22" t="n">
        <f aca="false">'Income Statement'!D81</f>
        <v>206.603685</v>
      </c>
      <c r="E39" s="22" t="n">
        <f aca="false">'Income Statement'!E81</f>
        <v>288.2652785</v>
      </c>
    </row>
    <row r="40" customFormat="false" ht="15" hidden="false" customHeight="false" outlineLevel="0" collapsed="false">
      <c r="B40" s="70" t="s">
        <v>234</v>
      </c>
      <c r="C40" s="22" t="n">
        <f aca="false">'SBC &amp; Dilution Schedule'!C30</f>
        <v>245.3633</v>
      </c>
      <c r="D40" s="22" t="n">
        <f aca="false">'SBC &amp; Dilution Schedule'!D30</f>
        <v>275.47158</v>
      </c>
      <c r="E40" s="22" t="n">
        <f aca="false">'SBC &amp; Dilution Schedule'!E30</f>
        <v>288.2652785</v>
      </c>
    </row>
    <row r="41" customFormat="false" ht="15" hidden="false" customHeight="false" outlineLevel="0" collapsed="false">
      <c r="B41" s="72" t="s">
        <v>235</v>
      </c>
      <c r="C41" s="63" t="n">
        <f aca="false">C38+C39+C40</f>
        <v>918.6779179</v>
      </c>
      <c r="D41" s="63" t="n">
        <f aca="false">D38+D39+D40</f>
        <v>1320.3221134</v>
      </c>
      <c r="E41" s="63" t="n">
        <f aca="false">E38+E39+E40</f>
        <v>1761.028445008</v>
      </c>
    </row>
    <row r="42" customFormat="false" ht="15" hidden="false" customHeight="false" outlineLevel="0" collapsed="false">
      <c r="B42" s="70" t="s">
        <v>236</v>
      </c>
      <c r="C42" s="30" t="n">
        <f aca="false">'Income Statement'!C73*Assumptions!$C$68</f>
        <v>35.0519</v>
      </c>
      <c r="D42" s="30" t="n">
        <f aca="false">'Income Statement'!D73*Assumptions!$D$68</f>
        <v>55.094316</v>
      </c>
      <c r="E42" s="30" t="n">
        <f aca="false">'Income Statement'!E73*Assumptions!$E$68</f>
        <v>80.71427798</v>
      </c>
    </row>
    <row r="43" customFormat="false" ht="15" hidden="false" customHeight="false" outlineLevel="0" collapsed="false">
      <c r="B43" s="72" t="s">
        <v>237</v>
      </c>
      <c r="C43" s="63" t="n">
        <f aca="false">-C42</f>
        <v>-35.0519</v>
      </c>
      <c r="D43" s="63" t="n">
        <f aca="false">-D42</f>
        <v>-55.094316</v>
      </c>
      <c r="E43" s="63" t="n">
        <f aca="false">-E42</f>
        <v>-80.71427798</v>
      </c>
    </row>
    <row r="44" customFormat="false" ht="15" hidden="false" customHeight="false" outlineLevel="0" collapsed="false">
      <c r="B44" s="72" t="s">
        <v>238</v>
      </c>
      <c r="C44" s="63" t="n">
        <v>0</v>
      </c>
      <c r="D44" s="63" t="n">
        <v>0</v>
      </c>
      <c r="E44" s="63" t="n">
        <v>0</v>
      </c>
      <c r="F44" s="3" t="s">
        <v>239</v>
      </c>
    </row>
    <row r="45" customFormat="false" ht="15" hidden="false" customHeight="false" outlineLevel="0" collapsed="false">
      <c r="B45" s="72" t="s">
        <v>240</v>
      </c>
      <c r="C45" s="63" t="n">
        <f aca="false">C41+C43+C44</f>
        <v>883.6260179</v>
      </c>
      <c r="D45" s="63" t="n">
        <f aca="false">D41+D43+D44</f>
        <v>1265.2277974</v>
      </c>
      <c r="E45" s="63" t="n">
        <f aca="false">E41+E43+E44</f>
        <v>1680.314167028</v>
      </c>
    </row>
    <row r="46" customFormat="false" ht="15" hidden="false" customHeight="false" outlineLevel="0" collapsed="false">
      <c r="B46" s="70" t="s">
        <v>241</v>
      </c>
      <c r="C46" s="22" t="n">
        <f aca="false">'Historical Financials'!$C$35</f>
        <v>1730.126</v>
      </c>
      <c r="D46" s="30" t="n">
        <f aca="false">C47</f>
        <v>2613.7520179</v>
      </c>
      <c r="E46" s="30" t="n">
        <f aca="false">D47</f>
        <v>3878.9798153</v>
      </c>
    </row>
    <row r="47" customFormat="false" ht="15" hidden="false" customHeight="false" outlineLevel="0" collapsed="false">
      <c r="B47" s="72" t="s">
        <v>242</v>
      </c>
      <c r="C47" s="63" t="n">
        <f aca="false">C46+C45</f>
        <v>2613.7520179</v>
      </c>
      <c r="D47" s="63" t="n">
        <f aca="false">D46+D45</f>
        <v>3878.9798153</v>
      </c>
      <c r="E47" s="63" t="n">
        <f aca="false">E46+E45</f>
        <v>5559.293982328</v>
      </c>
    </row>
    <row r="49" customFormat="false" ht="15" hidden="false" customHeight="false" outlineLevel="0" collapsed="false">
      <c r="B49" s="72" t="s">
        <v>243</v>
      </c>
      <c r="C49" s="74" t="n">
        <f aca="false">C41-C42</f>
        <v>883.6260179</v>
      </c>
      <c r="D49" s="74" t="n">
        <f aca="false">D41-D42</f>
        <v>1265.2277974</v>
      </c>
      <c r="E49" s="74" t="n">
        <f aca="false">E41-E42</f>
        <v>1680.314167028</v>
      </c>
    </row>
  </sheetData>
  <mergeCells count="5">
    <mergeCell ref="A2:E2"/>
    <mergeCell ref="B3:F3"/>
    <mergeCell ref="B6:E6"/>
    <mergeCell ref="B21:E21"/>
    <mergeCell ref="B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5" min="3" style="0" width="14"/>
    <col collapsed="false" customWidth="true" hidden="false" outlineLevel="0" max="6" min="6" style="0" width="3"/>
  </cols>
  <sheetData>
    <row r="2" customFormat="false" ht="19.5" hidden="false" customHeight="true" outlineLevel="0" collapsed="false">
      <c r="A2" s="6" t="s">
        <v>244</v>
      </c>
      <c r="B2" s="6"/>
      <c r="C2" s="6"/>
      <c r="D2" s="6"/>
      <c r="E2" s="6"/>
    </row>
    <row r="3" customFormat="false" ht="55.5" hidden="false" customHeight="true" outlineLevel="0" collapsed="false">
      <c r="B3" s="19" t="s">
        <v>245</v>
      </c>
      <c r="C3" s="19"/>
      <c r="D3" s="19"/>
      <c r="E3" s="19"/>
      <c r="F3" s="19"/>
    </row>
    <row r="6" customFormat="false" ht="15" hidden="false" customHeight="false" outlineLevel="0" collapsed="false">
      <c r="B6" s="57" t="s">
        <v>54</v>
      </c>
      <c r="C6" s="57"/>
      <c r="D6" s="57"/>
      <c r="E6" s="57"/>
    </row>
    <row r="7" customFormat="false" ht="15" hidden="false" customHeight="false" outlineLevel="0" collapsed="false">
      <c r="B7" s="7"/>
      <c r="C7" s="12" t="s">
        <v>134</v>
      </c>
      <c r="D7" s="12" t="s">
        <v>135</v>
      </c>
      <c r="E7" s="12" t="s">
        <v>136</v>
      </c>
    </row>
    <row r="8" customFormat="false" ht="15" hidden="false" customHeight="false" outlineLevel="0" collapsed="false">
      <c r="B8" s="58" t="s">
        <v>246</v>
      </c>
      <c r="C8" s="53" t="n">
        <f aca="false">Cover_Shares</f>
        <v>253.88</v>
      </c>
      <c r="D8" s="53" t="n">
        <f aca="false">C12</f>
        <v>261.4964</v>
      </c>
      <c r="E8" s="53" t="n">
        <f aca="false">D12</f>
        <v>269.341292</v>
      </c>
    </row>
    <row r="9" customFormat="false" ht="15" hidden="false" customHeight="false" outlineLevel="0" collapsed="false">
      <c r="B9" s="58" t="s">
        <v>247</v>
      </c>
      <c r="C9" s="53" t="n">
        <f aca="false">Cover_DilShares</f>
        <v>268.6</v>
      </c>
      <c r="D9" s="53" t="n">
        <f aca="false">C11</f>
        <v>276.658</v>
      </c>
      <c r="E9" s="53" t="n">
        <f aca="false">D11</f>
        <v>284.95774</v>
      </c>
    </row>
    <row r="10" customFormat="false" ht="15" hidden="false" customHeight="false" outlineLevel="0" collapsed="false">
      <c r="B10" s="58" t="s">
        <v>248</v>
      </c>
      <c r="C10" s="30" t="n">
        <f aca="false">'Income Statement'!C15*Assumptions!$C$52</f>
        <v>248.977325</v>
      </c>
      <c r="D10" s="30" t="n">
        <f aca="false">'Income Statement'!D15*Assumptions!$D$52</f>
        <v>242.262988</v>
      </c>
      <c r="E10" s="30" t="n">
        <f aca="false">'Income Statement'!E15*Assumptions!$E$52</f>
        <v>228.6926955</v>
      </c>
    </row>
    <row r="11" customFormat="false" ht="15" hidden="false" customHeight="false" outlineLevel="0" collapsed="false">
      <c r="B11" s="62" t="s">
        <v>249</v>
      </c>
      <c r="C11" s="75" t="n">
        <f aca="false">C9*(1+Assumptions!$C$47)</f>
        <v>276.658</v>
      </c>
      <c r="D11" s="75" t="n">
        <f aca="false">D9*(1+Assumptions!$D$47)</f>
        <v>284.95774</v>
      </c>
      <c r="E11" s="75" t="n">
        <f aca="false">E9*(1+Assumptions!$E$47)</f>
        <v>293.5064722</v>
      </c>
    </row>
    <row r="12" customFormat="false" ht="15" hidden="false" customHeight="false" outlineLevel="0" collapsed="false">
      <c r="B12" s="58" t="s">
        <v>250</v>
      </c>
      <c r="C12" s="53" t="n">
        <f aca="false">C8*(1+Assumptions!$C$47)</f>
        <v>261.4964</v>
      </c>
      <c r="D12" s="53" t="n">
        <f aca="false">D8*(1+Assumptions!$D$47)</f>
        <v>269.341292</v>
      </c>
      <c r="E12" s="53" t="n">
        <f aca="false">E8*(1+Assumptions!$E$47)</f>
        <v>277.42153076</v>
      </c>
    </row>
    <row r="13" customFormat="false" ht="15" hidden="false" customHeight="false" outlineLevel="0" collapsed="false">
      <c r="B13" s="60" t="s">
        <v>251</v>
      </c>
      <c r="C13" s="53" t="n">
        <f aca="false">C11-C12</f>
        <v>15.1616</v>
      </c>
      <c r="D13" s="53" t="n">
        <f aca="false">D11-D12</f>
        <v>15.616448</v>
      </c>
      <c r="E13" s="53" t="n">
        <f aca="false">E11-E12</f>
        <v>16.08494144</v>
      </c>
    </row>
    <row r="14" customFormat="false" ht="15" hidden="false" customHeight="false" outlineLevel="0" collapsed="false">
      <c r="B14" s="60" t="s">
        <v>252</v>
      </c>
      <c r="C14" s="53" t="n">
        <v>0</v>
      </c>
      <c r="D14" s="53" t="n">
        <v>0</v>
      </c>
      <c r="E14" s="53" t="n">
        <v>0</v>
      </c>
      <c r="F14" s="3" t="s">
        <v>253</v>
      </c>
    </row>
    <row r="16" customFormat="false" ht="15" hidden="false" customHeight="false" outlineLevel="0" collapsed="false">
      <c r="B16" s="65" t="s">
        <v>213</v>
      </c>
      <c r="C16" s="65"/>
      <c r="D16" s="65"/>
      <c r="E16" s="65"/>
    </row>
    <row r="17" customFormat="false" ht="15" hidden="false" customHeight="false" outlineLevel="0" collapsed="false">
      <c r="B17" s="7"/>
      <c r="C17" s="12" t="s">
        <v>134</v>
      </c>
      <c r="D17" s="12" t="s">
        <v>135</v>
      </c>
      <c r="E17" s="12" t="s">
        <v>136</v>
      </c>
    </row>
    <row r="18" customFormat="false" ht="15" hidden="false" customHeight="false" outlineLevel="0" collapsed="false">
      <c r="B18" s="66" t="s">
        <v>246</v>
      </c>
      <c r="C18" s="53" t="n">
        <f aca="false">Cover_Shares</f>
        <v>253.88</v>
      </c>
      <c r="D18" s="53" t="n">
        <f aca="false">C22</f>
        <v>258.9576</v>
      </c>
      <c r="E18" s="53" t="n">
        <f aca="false">D22</f>
        <v>264.136752</v>
      </c>
    </row>
    <row r="19" customFormat="false" ht="15" hidden="false" customHeight="false" outlineLevel="0" collapsed="false">
      <c r="B19" s="66" t="s">
        <v>247</v>
      </c>
      <c r="C19" s="53" t="n">
        <f aca="false">Cover_DilShares</f>
        <v>268.6</v>
      </c>
      <c r="D19" s="53" t="n">
        <f aca="false">C21</f>
        <v>273.972</v>
      </c>
      <c r="E19" s="53" t="n">
        <f aca="false">D21</f>
        <v>279.45144</v>
      </c>
    </row>
    <row r="20" customFormat="false" ht="15" hidden="false" customHeight="false" outlineLevel="0" collapsed="false">
      <c r="B20" s="66" t="s">
        <v>248</v>
      </c>
      <c r="C20" s="30" t="n">
        <f aca="false">'Income Statement'!C44*Assumptions!$C$53</f>
        <v>241.42875</v>
      </c>
      <c r="D20" s="30" t="n">
        <f aca="false">'Income Statement'!D44*Assumptions!$D$53</f>
        <v>248.622976</v>
      </c>
      <c r="E20" s="30" t="n">
        <f aca="false">'Income Statement'!E44*Assumptions!$E$53</f>
        <v>249.56676784</v>
      </c>
    </row>
    <row r="21" customFormat="false" ht="15" hidden="false" customHeight="false" outlineLevel="0" collapsed="false">
      <c r="B21" s="68" t="s">
        <v>249</v>
      </c>
      <c r="C21" s="75" t="n">
        <f aca="false">C19*(1+Assumptions!$C$48)</f>
        <v>273.972</v>
      </c>
      <c r="D21" s="75" t="n">
        <f aca="false">D19*(1+Assumptions!$D$48)</f>
        <v>279.45144</v>
      </c>
      <c r="E21" s="75" t="n">
        <f aca="false">E19*(1+Assumptions!$E$48)</f>
        <v>285.0404688</v>
      </c>
    </row>
    <row r="22" customFormat="false" ht="15" hidden="false" customHeight="false" outlineLevel="0" collapsed="false">
      <c r="B22" s="66" t="s">
        <v>250</v>
      </c>
      <c r="C22" s="53" t="n">
        <f aca="false">C18*(1+Assumptions!$C$48)</f>
        <v>258.9576</v>
      </c>
      <c r="D22" s="53" t="n">
        <f aca="false">D18*(1+Assumptions!$D$48)</f>
        <v>264.136752</v>
      </c>
      <c r="E22" s="53" t="n">
        <f aca="false">E18*(1+Assumptions!$E$48)</f>
        <v>269.41948704</v>
      </c>
    </row>
    <row r="23" customFormat="false" ht="15" hidden="false" customHeight="false" outlineLevel="0" collapsed="false">
      <c r="B23" s="67" t="s">
        <v>251</v>
      </c>
      <c r="C23" s="53" t="n">
        <f aca="false">C21-C22</f>
        <v>15.0144</v>
      </c>
      <c r="D23" s="53" t="n">
        <f aca="false">D21-D22</f>
        <v>15.314688</v>
      </c>
      <c r="E23" s="53" t="n">
        <f aca="false">E21-E22</f>
        <v>15.6209817600001</v>
      </c>
    </row>
    <row r="24" customFormat="false" ht="15" hidden="false" customHeight="false" outlineLevel="0" collapsed="false">
      <c r="B24" s="67" t="s">
        <v>252</v>
      </c>
      <c r="C24" s="53" t="n">
        <v>0</v>
      </c>
      <c r="D24" s="53" t="n">
        <v>0</v>
      </c>
      <c r="E24" s="53" t="n">
        <v>0</v>
      </c>
      <c r="F24" s="3" t="s">
        <v>253</v>
      </c>
    </row>
    <row r="26" customFormat="false" ht="15" hidden="false" customHeight="false" outlineLevel="0" collapsed="false">
      <c r="B26" s="69" t="s">
        <v>49</v>
      </c>
      <c r="C26" s="69"/>
      <c r="D26" s="69"/>
      <c r="E26" s="69"/>
    </row>
    <row r="27" customFormat="false" ht="15" hidden="false" customHeight="false" outlineLevel="0" collapsed="false">
      <c r="B27" s="7"/>
      <c r="C27" s="12" t="s">
        <v>134</v>
      </c>
      <c r="D27" s="12" t="s">
        <v>135</v>
      </c>
      <c r="E27" s="12" t="s">
        <v>136</v>
      </c>
    </row>
    <row r="28" customFormat="false" ht="15" hidden="false" customHeight="false" outlineLevel="0" collapsed="false">
      <c r="B28" s="70" t="s">
        <v>246</v>
      </c>
      <c r="C28" s="53" t="n">
        <f aca="false">Cover_Shares</f>
        <v>253.88</v>
      </c>
      <c r="D28" s="53" t="n">
        <f aca="false">C32</f>
        <v>256.4188</v>
      </c>
      <c r="E28" s="53" t="n">
        <f aca="false">D32</f>
        <v>258.982988</v>
      </c>
    </row>
    <row r="29" customFormat="false" ht="15" hidden="false" customHeight="false" outlineLevel="0" collapsed="false">
      <c r="B29" s="70" t="s">
        <v>247</v>
      </c>
      <c r="C29" s="53" t="n">
        <f aca="false">Cover_DilShares</f>
        <v>268.6</v>
      </c>
      <c r="D29" s="53" t="n">
        <f aca="false">C31</f>
        <v>271.286</v>
      </c>
      <c r="E29" s="53" t="n">
        <f aca="false">D31</f>
        <v>273.99886</v>
      </c>
    </row>
    <row r="30" customFormat="false" ht="15" hidden="false" customHeight="false" outlineLevel="0" collapsed="false">
      <c r="B30" s="70" t="s">
        <v>248</v>
      </c>
      <c r="C30" s="30" t="n">
        <f aca="false">'Income Statement'!C73*Assumptions!$C$54</f>
        <v>245.3633</v>
      </c>
      <c r="D30" s="30" t="n">
        <f aca="false">'Income Statement'!D73*Assumptions!$D$54</f>
        <v>275.47158</v>
      </c>
      <c r="E30" s="30" t="n">
        <f aca="false">'Income Statement'!E73*Assumptions!$E$54</f>
        <v>288.2652785</v>
      </c>
    </row>
    <row r="31" customFormat="false" ht="15" hidden="false" customHeight="false" outlineLevel="0" collapsed="false">
      <c r="B31" s="72" t="s">
        <v>249</v>
      </c>
      <c r="C31" s="75" t="n">
        <f aca="false">C29*(1+Assumptions!$C$49)</f>
        <v>271.286</v>
      </c>
      <c r="D31" s="75" t="n">
        <f aca="false">D29*(1+Assumptions!$D$49)</f>
        <v>273.99886</v>
      </c>
      <c r="E31" s="75" t="n">
        <f aca="false">E29*(1+Assumptions!$E$49)</f>
        <v>276.7388486</v>
      </c>
    </row>
    <row r="32" customFormat="false" ht="15" hidden="false" customHeight="false" outlineLevel="0" collapsed="false">
      <c r="B32" s="70" t="s">
        <v>250</v>
      </c>
      <c r="C32" s="53" t="n">
        <f aca="false">C28*(1+Assumptions!$C$49)</f>
        <v>256.4188</v>
      </c>
      <c r="D32" s="53" t="n">
        <f aca="false">D28*(1+Assumptions!$D$49)</f>
        <v>258.982988</v>
      </c>
      <c r="E32" s="53" t="n">
        <f aca="false">E28*(1+Assumptions!$E$49)</f>
        <v>261.57281788</v>
      </c>
    </row>
    <row r="33" customFormat="false" ht="15" hidden="false" customHeight="false" outlineLevel="0" collapsed="false">
      <c r="B33" s="71" t="s">
        <v>251</v>
      </c>
      <c r="C33" s="53" t="n">
        <f aca="false">C31-C32</f>
        <v>14.8672</v>
      </c>
      <c r="D33" s="53" t="n">
        <f aca="false">D31-D32</f>
        <v>15.015872</v>
      </c>
      <c r="E33" s="53" t="n">
        <f aca="false">E31-E32</f>
        <v>15.16603072</v>
      </c>
    </row>
    <row r="34" customFormat="false" ht="15" hidden="false" customHeight="false" outlineLevel="0" collapsed="false">
      <c r="B34" s="71" t="s">
        <v>252</v>
      </c>
      <c r="C34" s="53" t="n">
        <v>0</v>
      </c>
      <c r="D34" s="53" t="n">
        <v>0</v>
      </c>
      <c r="E34" s="53" t="n">
        <v>0</v>
      </c>
      <c r="F34" s="3" t="s">
        <v>253</v>
      </c>
    </row>
  </sheetData>
  <mergeCells count="5">
    <mergeCell ref="A2:E2"/>
    <mergeCell ref="B3:F3"/>
    <mergeCell ref="B6:E6"/>
    <mergeCell ref="B16:E16"/>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8" min="3" style="0" width="14"/>
    <col collapsed="false" customWidth="true" hidden="false" outlineLevel="0" max="9" min="9" style="0" width="3"/>
  </cols>
  <sheetData>
    <row r="2" customFormat="false" ht="19.5" hidden="false" customHeight="true" outlineLevel="0" collapsed="false">
      <c r="A2" s="6" t="s">
        <v>254</v>
      </c>
      <c r="B2" s="6"/>
      <c r="C2" s="6"/>
      <c r="D2" s="6"/>
      <c r="E2" s="6"/>
      <c r="F2" s="6"/>
      <c r="G2" s="6"/>
    </row>
    <row r="4" customFormat="false" ht="25.5" hidden="false" customHeight="true" outlineLevel="0" collapsed="false">
      <c r="B4" s="76" t="s">
        <v>255</v>
      </c>
      <c r="C4" s="76" t="s">
        <v>256</v>
      </c>
      <c r="D4" s="76" t="s">
        <v>257</v>
      </c>
      <c r="E4" s="76" t="s">
        <v>258</v>
      </c>
      <c r="F4" s="76" t="s">
        <v>259</v>
      </c>
      <c r="G4" s="76" t="s">
        <v>260</v>
      </c>
      <c r="H4" s="76" t="s">
        <v>261</v>
      </c>
    </row>
    <row r="5" customFormat="false" ht="15" hidden="false" customHeight="false" outlineLevel="0" collapsed="false">
      <c r="B5" s="14" t="s">
        <v>262</v>
      </c>
      <c r="C5" s="13" t="n">
        <f aca="false">Cover_Price</f>
        <v>87.98</v>
      </c>
      <c r="D5" s="20" t="n">
        <f aca="false">Cover_MktCap/1000</f>
        <v>22.3363624</v>
      </c>
      <c r="E5" s="20" t="n">
        <f aca="false">Cover_MktCap/1000-Cover_NetCash/1000</f>
        <v>20.6063624</v>
      </c>
      <c r="F5" s="77" t="n">
        <v>2.7</v>
      </c>
      <c r="G5" s="78" t="n">
        <f aca="false">E5/F5</f>
        <v>7.63198607407407</v>
      </c>
      <c r="H5" s="79" t="n">
        <v>54.6</v>
      </c>
    </row>
    <row r="6" customFormat="false" ht="15" hidden="false" customHeight="false" outlineLevel="0" collapsed="false">
      <c r="B6" s="7" t="s">
        <v>263</v>
      </c>
      <c r="C6" s="77" t="n">
        <v>148</v>
      </c>
      <c r="D6" s="37" t="n">
        <v>39.1</v>
      </c>
      <c r="E6" s="37" t="n">
        <v>37</v>
      </c>
      <c r="F6" s="77" t="n">
        <v>6.04</v>
      </c>
      <c r="G6" s="78" t="n">
        <f aca="false">E6/F6</f>
        <v>6.12582781456954</v>
      </c>
      <c r="H6" s="79" t="n">
        <v>129</v>
      </c>
    </row>
    <row r="7" customFormat="false" ht="15" hidden="false" customHeight="false" outlineLevel="0" collapsed="false">
      <c r="B7" s="7" t="s">
        <v>264</v>
      </c>
      <c r="C7" s="77" t="n">
        <v>61</v>
      </c>
      <c r="D7" s="37" t="n">
        <v>52.5</v>
      </c>
      <c r="E7" s="37" t="n">
        <v>55</v>
      </c>
      <c r="F7" s="77" t="n">
        <v>34.13</v>
      </c>
      <c r="G7" s="78" t="n">
        <f aca="false">E7/F7</f>
        <v>1.61148549663053</v>
      </c>
      <c r="H7" s="79" t="n">
        <v>11</v>
      </c>
    </row>
    <row r="8" customFormat="false" ht="15" hidden="false" customHeight="false" outlineLevel="0" collapsed="false">
      <c r="B8" s="7" t="s">
        <v>265</v>
      </c>
      <c r="C8" s="77" t="n">
        <v>365</v>
      </c>
      <c r="D8" s="37" t="n">
        <v>676</v>
      </c>
      <c r="E8" s="80" t="s">
        <v>266</v>
      </c>
      <c r="F8" s="77" t="n">
        <v>44.49</v>
      </c>
      <c r="G8" s="80" t="s">
        <v>266</v>
      </c>
      <c r="H8" s="79" t="n">
        <v>24.8</v>
      </c>
    </row>
    <row r="9" customFormat="false" ht="15" hidden="false" customHeight="false" outlineLevel="0" collapsed="false">
      <c r="B9" s="7" t="s">
        <v>267</v>
      </c>
      <c r="C9" s="77" t="n">
        <v>569</v>
      </c>
      <c r="D9" s="37" t="n">
        <v>499</v>
      </c>
      <c r="E9" s="80" t="s">
        <v>266</v>
      </c>
      <c r="F9" s="77" t="n">
        <v>35.08</v>
      </c>
      <c r="G9" s="80" t="s">
        <v>266</v>
      </c>
      <c r="H9" s="79" t="n">
        <v>26.4</v>
      </c>
    </row>
    <row r="11" customFormat="false" ht="48" hidden="false" customHeight="true" outlineLevel="0" collapsed="false">
      <c r="B11" s="19" t="s">
        <v>268</v>
      </c>
      <c r="C11" s="19"/>
      <c r="D11" s="19"/>
      <c r="E11" s="19"/>
      <c r="F11" s="19"/>
      <c r="G11" s="19"/>
      <c r="H11" s="19"/>
    </row>
    <row r="13" customFormat="false" ht="19.5" hidden="false" customHeight="true" outlineLevel="0" collapsed="false">
      <c r="A13" s="6" t="s">
        <v>269</v>
      </c>
      <c r="B13" s="6"/>
      <c r="C13" s="6"/>
      <c r="D13" s="6"/>
      <c r="E13" s="6"/>
      <c r="F13" s="6"/>
    </row>
    <row r="14" customFormat="false" ht="23.85" hidden="false" customHeight="false" outlineLevel="0" collapsed="false">
      <c r="B14" s="76" t="s">
        <v>270</v>
      </c>
      <c r="C14" s="76" t="s">
        <v>271</v>
      </c>
      <c r="D14" s="76" t="s">
        <v>272</v>
      </c>
      <c r="E14" s="76" t="s">
        <v>273</v>
      </c>
      <c r="F14" s="76" t="s">
        <v>274</v>
      </c>
      <c r="G14" s="76" t="s">
        <v>275</v>
      </c>
    </row>
    <row r="15" customFormat="false" ht="15" hidden="false" customHeight="false" outlineLevel="0" collapsed="false">
      <c r="B15" s="81" t="s">
        <v>276</v>
      </c>
      <c r="C15" s="81" t="s">
        <v>277</v>
      </c>
      <c r="D15" s="81" t="s">
        <v>278</v>
      </c>
      <c r="E15" s="27" t="n">
        <v>87</v>
      </c>
      <c r="F15" s="16" t="n">
        <f aca="false">E15/Cover_Price-1</f>
        <v>-0.0111388952034553</v>
      </c>
    </row>
    <row r="16" customFormat="false" ht="15" hidden="false" customHeight="false" outlineLevel="0" collapsed="false">
      <c r="B16" s="81" t="s">
        <v>279</v>
      </c>
      <c r="C16" s="81" t="s">
        <v>280</v>
      </c>
      <c r="D16" s="81" t="s">
        <v>278</v>
      </c>
      <c r="E16" s="27" t="n">
        <v>130</v>
      </c>
      <c r="F16" s="16" t="n">
        <f aca="false">E16/Cover_Price-1</f>
        <v>0.477608547397136</v>
      </c>
    </row>
    <row r="17" customFormat="false" ht="15" hidden="false" customHeight="false" outlineLevel="0" collapsed="false">
      <c r="B17" s="81" t="s">
        <v>279</v>
      </c>
      <c r="C17" s="81" t="s">
        <v>281</v>
      </c>
      <c r="D17" s="81" t="s">
        <v>282</v>
      </c>
      <c r="E17" s="27" t="n">
        <v>37</v>
      </c>
      <c r="F17" s="16" t="n">
        <f aca="false">E17/Cover_Price-1</f>
        <v>-0.579449874971584</v>
      </c>
    </row>
    <row r="18" customFormat="false" ht="15" hidden="false" customHeight="false" outlineLevel="0" collapsed="false">
      <c r="B18" s="81" t="s">
        <v>279</v>
      </c>
      <c r="C18" s="81" t="s">
        <v>283</v>
      </c>
      <c r="D18" s="81" t="s">
        <v>278</v>
      </c>
      <c r="E18" s="27" t="n">
        <v>104</v>
      </c>
      <c r="F18" s="16" t="n">
        <f aca="false">E18/Cover_Price-1</f>
        <v>0.182086837917709</v>
      </c>
    </row>
    <row r="19" customFormat="false" ht="15" hidden="false" customHeight="false" outlineLevel="0" collapsed="false">
      <c r="B19" s="81" t="s">
        <v>279</v>
      </c>
      <c r="C19" s="81" t="s">
        <v>284</v>
      </c>
      <c r="D19" s="81" t="s">
        <v>278</v>
      </c>
      <c r="E19" s="27" t="n">
        <v>127</v>
      </c>
      <c r="F19" s="16" t="n">
        <f aca="false">E19/Cover_Price-1</f>
        <v>0.443509888611048</v>
      </c>
    </row>
    <row r="20" customFormat="false" ht="15" hidden="false" customHeight="false" outlineLevel="0" collapsed="false">
      <c r="B20" s="81" t="s">
        <v>285</v>
      </c>
      <c r="C20" s="81" t="s">
        <v>286</v>
      </c>
      <c r="D20" s="81" t="s">
        <v>287</v>
      </c>
      <c r="E20" s="27" t="n">
        <v>45</v>
      </c>
      <c r="F20" s="16" t="n">
        <f aca="false">E20/Cover_Price-1</f>
        <v>-0.488520118208684</v>
      </c>
    </row>
    <row r="21" customFormat="false" ht="15" hidden="false" customHeight="false" outlineLevel="0" collapsed="false">
      <c r="B21" s="81" t="s">
        <v>288</v>
      </c>
      <c r="C21" s="81" t="s">
        <v>289</v>
      </c>
      <c r="D21" s="81" t="s">
        <v>290</v>
      </c>
      <c r="E21" s="80" t="s">
        <v>266</v>
      </c>
      <c r="F21" s="80" t="s">
        <v>291</v>
      </c>
    </row>
    <row r="22" customFormat="false" ht="15" hidden="false" customHeight="false" outlineLevel="0" collapsed="false">
      <c r="B22" s="81" t="s">
        <v>292</v>
      </c>
      <c r="C22" s="81" t="s">
        <v>286</v>
      </c>
      <c r="D22" s="81" t="s">
        <v>293</v>
      </c>
      <c r="E22" s="27" t="n">
        <v>50</v>
      </c>
      <c r="F22" s="16" t="n">
        <f aca="false">E22/Cover_Price-1</f>
        <v>-0.431689020231871</v>
      </c>
    </row>
    <row r="23" customFormat="false" ht="15" hidden="false" customHeight="false" outlineLevel="0" collapsed="false">
      <c r="B23" s="81" t="s">
        <v>294</v>
      </c>
      <c r="C23" s="81" t="s">
        <v>295</v>
      </c>
      <c r="D23" s="81" t="s">
        <v>296</v>
      </c>
      <c r="E23" s="27" t="n">
        <v>100</v>
      </c>
      <c r="F23" s="16" t="n">
        <f aca="false">E23/Cover_Price-1</f>
        <v>0.136621959536258</v>
      </c>
    </row>
    <row r="24" customFormat="false" ht="15" hidden="false" customHeight="false" outlineLevel="0" collapsed="false">
      <c r="B24" s="81" t="s">
        <v>297</v>
      </c>
      <c r="C24" s="81" t="s">
        <v>298</v>
      </c>
      <c r="D24" s="81" t="s">
        <v>287</v>
      </c>
      <c r="E24" s="27" t="n">
        <v>96</v>
      </c>
      <c r="F24" s="16" t="n">
        <f aca="false">E24/Cover_Price-1</f>
        <v>0.0911570811548079</v>
      </c>
    </row>
    <row r="25" customFormat="false" ht="15" hidden="false" customHeight="false" outlineLevel="0" collapsed="false">
      <c r="B25" s="81" t="s">
        <v>299</v>
      </c>
      <c r="C25" s="81" t="s">
        <v>300</v>
      </c>
      <c r="D25" s="81" t="s">
        <v>287</v>
      </c>
      <c r="E25" s="27" t="n">
        <v>55</v>
      </c>
      <c r="F25" s="16" t="n">
        <f aca="false">E25/Cover_Price-1</f>
        <v>-0.374857922255058</v>
      </c>
    </row>
    <row r="26" customFormat="false" ht="15" hidden="false" customHeight="false" outlineLevel="0" collapsed="false">
      <c r="B26" s="81" t="s">
        <v>299</v>
      </c>
      <c r="C26" s="81" t="s">
        <v>301</v>
      </c>
      <c r="D26" s="81" t="s">
        <v>287</v>
      </c>
      <c r="E26" s="27" t="n">
        <v>69</v>
      </c>
      <c r="F26" s="16" t="n">
        <f aca="false">E26/Cover_Price-1</f>
        <v>-0.215730847919982</v>
      </c>
    </row>
    <row r="27" customFormat="false" ht="15" hidden="false" customHeight="false" outlineLevel="0" collapsed="false">
      <c r="B27" s="14" t="s">
        <v>302</v>
      </c>
      <c r="C27" s="82" t="s">
        <v>303</v>
      </c>
      <c r="E27" s="83" t="n">
        <v>105</v>
      </c>
      <c r="F27" s="84" t="n">
        <f aca="false">E27/Cover_Price-1</f>
        <v>0.193453057513071</v>
      </c>
    </row>
    <row r="28" customFormat="false" ht="39.75" hidden="false" customHeight="true" outlineLevel="0" collapsed="false">
      <c r="B28" s="19" t="s">
        <v>304</v>
      </c>
      <c r="C28" s="19"/>
      <c r="D28" s="19"/>
      <c r="E28" s="19"/>
      <c r="F28" s="19"/>
      <c r="G28" s="19"/>
    </row>
    <row r="31" customFormat="false" ht="19.5" hidden="false" customHeight="true" outlineLevel="0" collapsed="false">
      <c r="A31" s="6" t="s">
        <v>305</v>
      </c>
      <c r="B31" s="6"/>
      <c r="C31" s="6"/>
      <c r="D31" s="6"/>
      <c r="E31" s="6"/>
      <c r="F31" s="6"/>
    </row>
    <row r="32" customFormat="false" ht="15" hidden="false" customHeight="false" outlineLevel="0" collapsed="false">
      <c r="B32" s="12"/>
      <c r="C32" s="12" t="s">
        <v>26</v>
      </c>
      <c r="D32" s="12" t="s">
        <v>27</v>
      </c>
      <c r="E32" s="12" t="s">
        <v>28</v>
      </c>
    </row>
    <row r="33" customFormat="false" ht="15" hidden="false" customHeight="false" outlineLevel="0" collapsed="false">
      <c r="B33" s="7" t="s">
        <v>306</v>
      </c>
      <c r="C33" s="22" t="n">
        <f aca="false">'Income Statement'!$E$21</f>
        <v>297.990874</v>
      </c>
      <c r="D33" s="22" t="n">
        <f aca="false">'Income Statement'!$E$50</f>
        <v>958.1827128</v>
      </c>
      <c r="E33" s="22" t="n">
        <f aca="false">'Income Statement'!$E$79</f>
        <v>2015.3405622</v>
      </c>
    </row>
    <row r="34" customFormat="false" ht="15" hidden="false" customHeight="false" outlineLevel="0" collapsed="false">
      <c r="B34" s="7" t="s">
        <v>165</v>
      </c>
      <c r="C34" s="85" t="n">
        <f aca="false">Assumptions!$C$77</f>
        <v>7.5</v>
      </c>
      <c r="D34" s="85" t="n">
        <f aca="false">Assumptions!$D$77</f>
        <v>9.5</v>
      </c>
      <c r="E34" s="85" t="n">
        <f aca="false">Assumptions!$E$77</f>
        <v>14</v>
      </c>
    </row>
    <row r="35" customFormat="false" ht="15" hidden="false" customHeight="false" outlineLevel="0" collapsed="false">
      <c r="B35" s="7" t="s">
        <v>307</v>
      </c>
      <c r="C35" s="30" t="n">
        <f aca="false">C33*C34</f>
        <v>2234.931555</v>
      </c>
      <c r="D35" s="30" t="n">
        <f aca="false">D33*D34</f>
        <v>9102.7357716</v>
      </c>
      <c r="E35" s="30" t="n">
        <f aca="false">E33*E34</f>
        <v>28214.7678708</v>
      </c>
    </row>
    <row r="36" customFormat="false" ht="15" hidden="false" customHeight="false" outlineLevel="0" collapsed="false">
      <c r="B36" s="4" t="s">
        <v>308</v>
      </c>
      <c r="C36" s="63" t="n">
        <f aca="false">C35+Cover_NetCash</f>
        <v>3964.931555</v>
      </c>
      <c r="D36" s="63" t="n">
        <f aca="false">D35+Cover_NetCash</f>
        <v>10832.7357716</v>
      </c>
      <c r="E36" s="63" t="n">
        <f aca="false">E35+Cover_NetCash</f>
        <v>29944.7678708</v>
      </c>
    </row>
    <row r="37" customFormat="false" ht="15" hidden="false" customHeight="false" outlineLevel="0" collapsed="false">
      <c r="B37" s="7" t="s">
        <v>309</v>
      </c>
      <c r="C37" s="64" t="n">
        <f aca="false">'Income Statement'!$E$31</f>
        <v>293.5064722</v>
      </c>
      <c r="D37" s="64" t="n">
        <f aca="false">'Income Statement'!$E$60</f>
        <v>285.0404688</v>
      </c>
      <c r="E37" s="64" t="n">
        <f aca="false">'Income Statement'!$E$89</f>
        <v>276.7388486</v>
      </c>
    </row>
    <row r="38" customFormat="false" ht="15" hidden="false" customHeight="false" outlineLevel="0" collapsed="false">
      <c r="B38" s="14" t="s">
        <v>310</v>
      </c>
      <c r="C38" s="15" t="n">
        <f aca="false">IFERROR(C36/C37,"-")</f>
        <v>13.5088385795399</v>
      </c>
      <c r="D38" s="15" t="n">
        <f aca="false">IFERROR(D36/D37,"-")</f>
        <v>38.004202761822</v>
      </c>
      <c r="E38" s="15" t="n">
        <f aca="false">IFERROR(E36/E37,"-")</f>
        <v>108.205869982795</v>
      </c>
    </row>
    <row r="40" customFormat="false" ht="19.5" hidden="false" customHeight="true" outlineLevel="0" collapsed="false">
      <c r="A40" s="6" t="s">
        <v>311</v>
      </c>
      <c r="B40" s="6"/>
      <c r="C40" s="6"/>
      <c r="D40" s="6"/>
      <c r="E40" s="6"/>
      <c r="F40" s="6"/>
    </row>
    <row r="41" customFormat="false" ht="31.5" hidden="false" customHeight="true" outlineLevel="0" collapsed="false">
      <c r="B41" s="19" t="s">
        <v>312</v>
      </c>
      <c r="C41" s="19"/>
      <c r="D41" s="19"/>
      <c r="E41" s="19"/>
      <c r="F41" s="19"/>
      <c r="G41" s="19"/>
    </row>
    <row r="43" customFormat="false" ht="15" hidden="false" customHeight="false" outlineLevel="0" collapsed="false">
      <c r="B43" s="12"/>
      <c r="C43" s="12" t="s">
        <v>26</v>
      </c>
      <c r="D43" s="12" t="s">
        <v>27</v>
      </c>
      <c r="E43" s="12" t="s">
        <v>28</v>
      </c>
    </row>
    <row r="44" customFormat="false" ht="15" hidden="false" customHeight="false" outlineLevel="0" collapsed="false">
      <c r="B44" s="7" t="s">
        <v>313</v>
      </c>
      <c r="C44" s="30" t="n">
        <f aca="false">'Cash Flow Statement'!$C$19/(1+Assumptions!$C$75)^1+'Cash Flow Statement'!$D$19/(1+Assumptions!$C$75)^2+'Cash Flow Statement'!$E$19/(1+Assumptions!$C$75)^3</f>
        <v>1120.55830457567</v>
      </c>
      <c r="D44" s="30" t="n">
        <f aca="false">'Cash Flow Statement'!$C$34/(1+Assumptions!$C$75)^1+'Cash Flow Statement'!$D$34/(1+Assumptions!$C$75)^2+'Cash Flow Statement'!$E$34/(1+Assumptions!$C$75)^3</f>
        <v>1890.25467438149</v>
      </c>
      <c r="E44" s="30" t="n">
        <f aca="false">'Cash Flow Statement'!$C$49/(1+Assumptions!$C$75)^1+'Cash Flow Statement'!$D$49/(1+Assumptions!$C$75)^2+'Cash Flow Statement'!$E$49/(1+Assumptions!$C$75)^3</f>
        <v>2993.59808970265</v>
      </c>
    </row>
    <row r="45" customFormat="false" ht="15" hidden="false" customHeight="false" outlineLevel="0" collapsed="false">
      <c r="B45" s="7" t="s">
        <v>314</v>
      </c>
      <c r="C45" s="30" t="n">
        <f aca="false">('Cash Flow Statement'!$E$19*(1+Assumptions!$C$76)/(Assumptions!$C$75-Assumptions!$C$76))/(1+Assumptions!$C$75)^3</f>
        <v>2721.12704168248</v>
      </c>
      <c r="D45" s="30" t="n">
        <f aca="false">('Cash Flow Statement'!$E$34*(1+Assumptions!$C$76)/(Assumptions!$C$75-Assumptions!$C$76))/(1+Assumptions!$C$75)^3</f>
        <v>6965.58129935965</v>
      </c>
      <c r="E45" s="30" t="n">
        <f aca="false">('Cash Flow Statement'!$E$49*(1+Assumptions!$C$76)/(Assumptions!$C$75-Assumptions!$C$76))/(1+Assumptions!$C$75)^3</f>
        <v>13687.720747088</v>
      </c>
    </row>
    <row r="46" customFormat="false" ht="15" hidden="false" customHeight="false" outlineLevel="0" collapsed="false">
      <c r="B46" s="4" t="s">
        <v>315</v>
      </c>
      <c r="C46" s="63" t="n">
        <f aca="false">C44+C45</f>
        <v>3841.68534625815</v>
      </c>
      <c r="D46" s="63" t="n">
        <f aca="false">D44+D45</f>
        <v>8855.83597374114</v>
      </c>
      <c r="E46" s="63" t="n">
        <f aca="false">E44+E45</f>
        <v>16681.3188367907</v>
      </c>
    </row>
    <row r="47" customFormat="false" ht="15" hidden="false" customHeight="false" outlineLevel="0" collapsed="false">
      <c r="B47" s="3" t="s">
        <v>316</v>
      </c>
      <c r="C47" s="16" t="n">
        <f aca="false">IFERROR(C45/C46,"-")</f>
        <v>0.708315959383008</v>
      </c>
      <c r="D47" s="16" t="n">
        <f aca="false">IFERROR(D45/D46,"-")</f>
        <v>0.786552655222344</v>
      </c>
      <c r="E47" s="16" t="n">
        <f aca="false">IFERROR(E45/E46,"-")</f>
        <v>0.820541881670635</v>
      </c>
    </row>
    <row r="48" customFormat="false" ht="15" hidden="false" customHeight="false" outlineLevel="0" collapsed="false">
      <c r="B48" s="4" t="s">
        <v>308</v>
      </c>
      <c r="C48" s="63" t="n">
        <f aca="false">C46+Cover_NetCash</f>
        <v>5571.68534625815</v>
      </c>
      <c r="D48" s="63" t="n">
        <f aca="false">D46+Cover_NetCash</f>
        <v>10585.8359737411</v>
      </c>
      <c r="E48" s="63" t="n">
        <f aca="false">E46+Cover_NetCash</f>
        <v>18411.3188367907</v>
      </c>
    </row>
    <row r="49" customFormat="false" ht="15" hidden="false" customHeight="false" outlineLevel="0" collapsed="false">
      <c r="B49" s="14" t="s">
        <v>317</v>
      </c>
      <c r="C49" s="15" t="n">
        <f aca="false">IFERROR(C48/C37,"-")</f>
        <v>18.9831771152955</v>
      </c>
      <c r="D49" s="15" t="n">
        <f aca="false">IFERROR(D48/D37,"-")</f>
        <v>37.1380106772444</v>
      </c>
      <c r="E49" s="15" t="n">
        <f aca="false">IFERROR(E48/E37,"-")</f>
        <v>66.5295780839304</v>
      </c>
    </row>
    <row r="51" customFormat="false" ht="49.5" hidden="false" customHeight="true" outlineLevel="0" collapsed="false">
      <c r="B51" s="19" t="s">
        <v>318</v>
      </c>
      <c r="C51" s="19"/>
      <c r="D51" s="19"/>
      <c r="E51" s="19"/>
      <c r="F51" s="19"/>
      <c r="G51" s="19"/>
    </row>
    <row r="54" customFormat="false" ht="19.5" hidden="false" customHeight="true" outlineLevel="0" collapsed="false">
      <c r="A54" s="6" t="s">
        <v>319</v>
      </c>
      <c r="B54" s="6"/>
      <c r="C54" s="6"/>
      <c r="D54" s="6"/>
      <c r="E54" s="6"/>
      <c r="F54" s="6"/>
    </row>
    <row r="55" customFormat="false" ht="27.75" hidden="false" customHeight="true" outlineLevel="0" collapsed="false">
      <c r="B55" s="19" t="s">
        <v>320</v>
      </c>
      <c r="C55" s="19"/>
      <c r="D55" s="19"/>
      <c r="E55" s="19"/>
      <c r="F55" s="19"/>
      <c r="G55" s="19"/>
    </row>
    <row r="57" customFormat="false" ht="15" hidden="false" customHeight="false" outlineLevel="0" collapsed="false">
      <c r="B57" s="54" t="s">
        <v>321</v>
      </c>
      <c r="C57" s="86" t="n">
        <v>0.02</v>
      </c>
      <c r="D57" s="86" t="n">
        <v>0.025</v>
      </c>
      <c r="E57" s="86" t="n">
        <v>0.03</v>
      </c>
      <c r="F57" s="86" t="n">
        <v>0.035</v>
      </c>
      <c r="G57" s="86" t="n">
        <v>0.04</v>
      </c>
    </row>
    <row r="58" customFormat="false" ht="15" hidden="false" customHeight="false" outlineLevel="0" collapsed="false">
      <c r="B58" s="86" t="n">
        <v>0.1</v>
      </c>
      <c r="C58" s="17" t="n">
        <f aca="false">IFERROR((('Cash Flow Statement'!$C$34/(1+0.1)^1+'Cash Flow Statement'!$D$34/(1+0.1)^2+'Cash Flow Statement'!$E$34/(1+0.1)^3)+((('Cash Flow Statement'!$E$34)*(1+C$57))/(0.1-C$57))/(1+0.1)^3+Cover_NetCash)/D37,"n/m")</f>
        <v>41.6796709535736</v>
      </c>
      <c r="D58" s="17" t="n">
        <f aca="false">IFERROR((('Cash Flow Statement'!$C$34/(1+0.1)^1+'Cash Flow Statement'!$D$34/(1+0.1)^2+'Cash Flow Statement'!$E$34/(1+0.1)^3)+((('Cash Flow Statement'!$E$34)*(1+D$57))/(0.1-D$57))/(1+0.1)^3+Cover_NetCash)/D37,"n/m")</f>
        <v>43.7457340393244</v>
      </c>
      <c r="E58" s="17" t="n">
        <f aca="false">IFERROR((('Cash Flow Statement'!$C$34/(1+0.1)^1+'Cash Flow Statement'!$D$34/(1+0.1)^2+'Cash Flow Statement'!$E$34/(1+0.1)^3)+((('Cash Flow Statement'!$E$34)*(1+E$57))/(0.1-E$57))/(1+0.1)^3+Cover_NetCash)/D37,"n/m")</f>
        <v>46.1069489944682</v>
      </c>
      <c r="F58" s="17" t="n">
        <f aca="false">IFERROR((('Cash Flow Statement'!$C$34/(1+0.1)^1+'Cash Flow Statement'!$D$34/(1+0.1)^2+'Cash Flow Statement'!$E$34/(1+0.1)^3)+((('Cash Flow Statement'!$E$34)*(1+F$57))/(0.1-F$57))/(1+0.1)^3+Cover_NetCash)/D37,"n/m")</f>
        <v>48.8314277888648</v>
      </c>
      <c r="G58" s="17" t="n">
        <f aca="false">IFERROR((('Cash Flow Statement'!$C$34/(1+0.1)^1+'Cash Flow Statement'!$D$34/(1+0.1)^2+'Cash Flow Statement'!$E$34/(1+0.1)^3)+((('Cash Flow Statement'!$E$34)*(1+G$57))/(0.1-G$57))/(1+0.1)^3+Cover_NetCash)/D37,"n/m")</f>
        <v>52.0099863823276</v>
      </c>
    </row>
    <row r="59" customFormat="false" ht="15" hidden="false" customHeight="false" outlineLevel="0" collapsed="false">
      <c r="B59" s="86" t="n">
        <v>0.11</v>
      </c>
      <c r="C59" s="17" t="n">
        <f aca="false">IFERROR((('Cash Flow Statement'!$C$34/(1+0.11)^1+'Cash Flow Statement'!$D$34/(1+0.11)^2+'Cash Flow Statement'!$E$34/(1+0.11)^3)+((('Cash Flow Statement'!$E$34)*(1+C$57))/(0.11-C$57))/(1+0.11)^3+Cover_NetCash)/D37,"n/m")</f>
        <v>37.6797938594152</v>
      </c>
      <c r="D59" s="17" t="n">
        <f aca="false">IFERROR((('Cash Flow Statement'!$C$34/(1+0.11)^1+'Cash Flow Statement'!$D$34/(1+0.11)^2+'Cash Flow Statement'!$E$34/(1+0.11)^3)+((('Cash Flow Statement'!$E$34)*(1+D$57))/(0.11-D$57))/(1+0.11)^3+Cover_NetCash)/D37,"n/m")</f>
        <v>39.271169867384</v>
      </c>
      <c r="E59" s="17" t="n">
        <f aca="false">IFERROR((('Cash Flow Statement'!$C$34/(1+0.11)^1+'Cash Flow Statement'!$D$34/(1+0.11)^2+'Cash Flow Statement'!$E$34/(1+0.11)^3)+((('Cash Flow Statement'!$E$34)*(1+E$57))/(0.11-E$57))/(1+0.11)^3+Cover_NetCash)/D37,"n/m")</f>
        <v>41.061467876349</v>
      </c>
      <c r="F59" s="17" t="n">
        <f aca="false">IFERROR((('Cash Flow Statement'!$C$34/(1+0.11)^1+'Cash Flow Statement'!$D$34/(1+0.11)^2+'Cash Flow Statement'!$E$34/(1+0.11)^3)+((('Cash Flow Statement'!$E$34)*(1+F$57))/(0.11-F$57))/(1+0.11)^3+Cover_NetCash)/D37,"n/m")</f>
        <v>43.0904722865092</v>
      </c>
      <c r="G59" s="17" t="n">
        <f aca="false">IFERROR((('Cash Flow Statement'!$C$34/(1+0.11)^1+'Cash Flow Statement'!$D$34/(1+0.11)^2+'Cash Flow Statement'!$E$34/(1+0.11)^3)+((('Cash Flow Statement'!$E$34)*(1+G$57))/(0.11-G$57))/(1+0.11)^3+Cover_NetCash)/D37,"n/m")</f>
        <v>45.4093344695496</v>
      </c>
    </row>
    <row r="60" customFormat="false" ht="15" hidden="false" customHeight="false" outlineLevel="0" collapsed="false">
      <c r="B60" s="86" t="n">
        <v>0.12</v>
      </c>
      <c r="C60" s="17" t="n">
        <f aca="false">IFERROR((('Cash Flow Statement'!$C$34/(1+0.12)^1+'Cash Flow Statement'!$D$34/(1+0.12)^2+'Cash Flow Statement'!$E$34/(1+0.12)^3)+((('Cash Flow Statement'!$E$34)*(1+C$57))/(0.12-C$57))/(1+0.12)^3+Cover_NetCash)/D37,"n/m")</f>
        <v>34.4807654245249</v>
      </c>
      <c r="D60" s="17" t="n">
        <f aca="false">IFERROR((('Cash Flow Statement'!$C$34/(1+0.12)^1+'Cash Flow Statement'!$D$34/(1+0.12)^2+'Cash Flow Statement'!$E$34/(1+0.12)^3)+((('Cash Flow Statement'!$E$34)*(1+D$57))/(0.12-D$57))/(1+0.12)^3+Cover_NetCash)/D37,"n/m")</f>
        <v>35.7394605442341</v>
      </c>
      <c r="E60" s="17" t="n">
        <f aca="false">IFERROR((('Cash Flow Statement'!$C$34/(1+0.12)^1+'Cash Flow Statement'!$D$34/(1+0.12)^2+'Cash Flow Statement'!$E$34/(1+0.12)^3)+((('Cash Flow Statement'!$E$34)*(1+E$57))/(0.12-E$57))/(1+0.12)^3+Cover_NetCash)/D37,"n/m")</f>
        <v>37.1380106772444</v>
      </c>
      <c r="F60" s="17" t="n">
        <f aca="false">IFERROR((('Cash Flow Statement'!$C$34/(1+0.12)^1+'Cash Flow Statement'!$D$34/(1+0.12)^2+'Cash Flow Statement'!$E$34/(1+0.12)^3)+((('Cash Flow Statement'!$E$34)*(1+F$57))/(0.12-F$57))/(1+0.12)^3+Cover_NetCash)/D37,"n/m")</f>
        <v>38.7010961200205</v>
      </c>
      <c r="G60" s="17" t="n">
        <f aca="false">IFERROR((('Cash Flow Statement'!$C$34/(1+0.12)^1+'Cash Flow Statement'!$D$34/(1+0.12)^2+'Cash Flow Statement'!$E$34/(1+0.12)^3)+((('Cash Flow Statement'!$E$34)*(1+G$57))/(0.12-G$57))/(1+0.12)^3+Cover_NetCash)/D37,"n/m")</f>
        <v>40.4595672431437</v>
      </c>
    </row>
    <row r="61" customFormat="false" ht="15" hidden="false" customHeight="false" outlineLevel="0" collapsed="false">
      <c r="B61" s="86" t="n">
        <v>0.13</v>
      </c>
      <c r="C61" s="17" t="n">
        <f aca="false">IFERROR((('Cash Flow Statement'!$C$34/(1+0.13)^1+'Cash Flow Statement'!$D$34/(1+0.13)^2+'Cash Flow Statement'!$E$34/(1+0.13)^3)+((('Cash Flow Statement'!$E$34)*(1+C$57))/(0.13-C$57))/(1+0.13)^3+Cover_NetCash)/D37,"n/m")</f>
        <v>31.8641470102648</v>
      </c>
      <c r="D61" s="17" t="n">
        <f aca="false">IFERROR((('Cash Flow Statement'!$C$34/(1+0.13)^1+'Cash Flow Statement'!$D$34/(1+0.13)^2+'Cash Flow Statement'!$E$34/(1+0.13)^3)+((('Cash Flow Statement'!$E$34)*(1+D$57))/(0.13-D$57))/(1+0.13)^3+Cover_NetCash)/D37,"n/m")</f>
        <v>32.8811947237343</v>
      </c>
      <c r="E61" s="17" t="n">
        <f aca="false">IFERROR((('Cash Flow Statement'!$C$34/(1+0.13)^1+'Cash Flow Statement'!$D$34/(1+0.13)^2+'Cash Flow Statement'!$E$34/(1+0.13)^3)+((('Cash Flow Statement'!$E$34)*(1+E$57))/(0.13-E$57))/(1+0.13)^3+Cover_NetCash)/D37,"n/m")</f>
        <v>33.9999472085506</v>
      </c>
      <c r="F61" s="17" t="n">
        <f aca="false">IFERROR((('Cash Flow Statement'!$C$34/(1+0.13)^1+'Cash Flow Statement'!$D$34/(1+0.13)^2+'Cash Flow Statement'!$E$34/(1+0.13)^3)+((('Cash Flow Statement'!$E$34)*(1+F$57))/(0.13-F$57))/(1+0.13)^3+Cover_NetCash)/D37,"n/m")</f>
        <v>35.2364631128213</v>
      </c>
      <c r="G61" s="17" t="n">
        <f aca="false">IFERROR((('Cash Flow Statement'!$C$34/(1+0.13)^1+'Cash Flow Statement'!$D$34/(1+0.13)^2+'Cash Flow Statement'!$E$34/(1+0.13)^3)+((('Cash Flow Statement'!$E$34)*(1+G$57))/(0.13-G$57))/(1+0.13)^3+Cover_NetCash)/D37,"n/m")</f>
        <v>36.610369673122</v>
      </c>
    </row>
    <row r="62" customFormat="false" ht="15" hidden="false" customHeight="false" outlineLevel="0" collapsed="false">
      <c r="B62" s="86" t="n">
        <v>0.14</v>
      </c>
      <c r="C62" s="17" t="n">
        <f aca="false">IFERROR((('Cash Flow Statement'!$C$34/(1+0.14)^1+'Cash Flow Statement'!$D$34/(1+0.14)^2+'Cash Flow Statement'!$E$34/(1+0.14)^3)+((('Cash Flow Statement'!$E$34)*(1+C$57))/(0.14-C$57))/(1+0.14)^3+Cover_NetCash)/D37,"n/m")</f>
        <v>29.6843138103107</v>
      </c>
      <c r="D62" s="17" t="n">
        <f aca="false">IFERROR((('Cash Flow Statement'!$C$34/(1+0.14)^1+'Cash Flow Statement'!$D$34/(1+0.14)^2+'Cash Flow Statement'!$E$34/(1+0.14)^3)+((('Cash Flow Statement'!$E$34)*(1+D$57))/(0.14-D$57))/(1+0.14)^3+Cover_NetCash)/D37,"n/m")</f>
        <v>30.5206702590369</v>
      </c>
      <c r="E62" s="17" t="n">
        <f aca="false">IFERROR((('Cash Flow Statement'!$C$34/(1+0.14)^1+'Cash Flow Statement'!$D$34/(1+0.14)^2+'Cash Flow Statement'!$E$34/(1+0.14)^3)+((('Cash Flow Statement'!$E$34)*(1+E$57))/(0.14-E$57))/(1+0.14)^3+Cover_NetCash)/D37,"n/m")</f>
        <v>31.4330591121927</v>
      </c>
      <c r="F62" s="17" t="n">
        <f aca="false">IFERROR((('Cash Flow Statement'!$C$34/(1+0.14)^1+'Cash Flow Statement'!$D$34/(1+0.14)^2+'Cash Flow Statement'!$E$34/(1+0.14)^3)+((('Cash Flow Statement'!$E$34)*(1+F$57))/(0.14-F$57))/(1+0.14)^3+Cover_NetCash)/D37,"n/m")</f>
        <v>32.4323421418396</v>
      </c>
      <c r="G62" s="17" t="n">
        <f aca="false">IFERROR((('Cash Flow Statement'!$C$34/(1+0.14)^1+'Cash Flow Statement'!$D$34/(1+0.14)^2+'Cash Flow Statement'!$E$34/(1+0.14)^3)+((('Cash Flow Statement'!$E$34)*(1+G$57))/(0.14-G$57))/(1+0.14)^3+Cover_NetCash)/D37,"n/m")</f>
        <v>33.5315534744512</v>
      </c>
    </row>
    <row r="65" customFormat="false" ht="19.5" hidden="false" customHeight="true" outlineLevel="0" collapsed="false">
      <c r="A65" s="6" t="s">
        <v>322</v>
      </c>
      <c r="B65" s="6"/>
      <c r="C65" s="6"/>
      <c r="D65" s="6"/>
      <c r="E65" s="6"/>
      <c r="F65" s="6"/>
    </row>
    <row r="66" customFormat="false" ht="48" hidden="false" customHeight="true" outlineLevel="0" collapsed="false">
      <c r="B66" s="19" t="s">
        <v>323</v>
      </c>
      <c r="C66" s="19"/>
      <c r="D66" s="19"/>
      <c r="E66" s="19"/>
      <c r="F66" s="19"/>
      <c r="G66" s="19"/>
    </row>
    <row r="69" customFormat="false" ht="15" hidden="false" customHeight="false" outlineLevel="0" collapsed="false">
      <c r="B69" s="54" t="s">
        <v>324</v>
      </c>
      <c r="C69" s="86" t="n">
        <v>0.025</v>
      </c>
      <c r="D69" s="86" t="n">
        <v>0.03</v>
      </c>
      <c r="E69" s="86" t="n">
        <v>0.035</v>
      </c>
      <c r="F69" s="86" t="n">
        <v>0.04</v>
      </c>
      <c r="G69" s="86" t="n">
        <v>0.045</v>
      </c>
    </row>
    <row r="70" customFormat="false" ht="15" hidden="false" customHeight="false" outlineLevel="0" collapsed="false">
      <c r="B70" s="87" t="n">
        <v>0.1</v>
      </c>
      <c r="C70" s="17" t="n">
        <f aca="false">IFERROR(((((((((('Income Statement'!$C$37*(1+0.1))+(('Income Statement'!$C$37*(1+0.1))*(1+0.1)))/2)*1000*C$69)+'Income Statement'!$E$43)*'Income Statement'!$E$46)-'Income Statement'!$E$49)*Assumptions!$D$77)+Cover_NetCash)/'Income Statement'!$E$60,"n/m")</f>
        <v>27.659135457821</v>
      </c>
      <c r="D70" s="17" t="n">
        <f aca="false">IFERROR(((((((((('Income Statement'!$C$37*(1+0.1))+(('Income Statement'!$C$37*(1+0.1))*(1+0.1)))/2)*1000*D$69)+'Income Statement'!$E$43)*'Income Statement'!$E$46)-'Income Statement'!$E$49)*Assumptions!$D$77)+Cover_NetCash)/'Income Statement'!$E$60,"n/m")</f>
        <v>35.0506633919766</v>
      </c>
      <c r="E70" s="17" t="n">
        <f aca="false">IFERROR(((((((((('Income Statement'!$C$37*(1+0.1))+(('Income Statement'!$C$37*(1+0.1))*(1+0.1)))/2)*1000*E$69)+'Income Statement'!$E$43)*'Income Statement'!$E$46)-'Income Statement'!$E$49)*Assumptions!$D$77)+Cover_NetCash)/'Income Statement'!$E$60,"n/m")</f>
        <v>42.4421913261321</v>
      </c>
      <c r="F70" s="17" t="n">
        <f aca="false">IFERROR(((((((((('Income Statement'!$C$37*(1+0.1))+(('Income Statement'!$C$37*(1+0.1))*(1+0.1)))/2)*1000*F$69)+'Income Statement'!$E$43)*'Income Statement'!$E$46)-'Income Statement'!$E$49)*Assumptions!$D$77)+Cover_NetCash)/'Income Statement'!$E$60,"n/m")</f>
        <v>49.8337192602877</v>
      </c>
      <c r="G70" s="17" t="n">
        <f aca="false">IFERROR(((((((((('Income Statement'!$C$37*(1+0.1))+(('Income Statement'!$C$37*(1+0.1))*(1+0.1)))/2)*1000*G$69)+'Income Statement'!$E$43)*'Income Statement'!$E$46)-'Income Statement'!$E$49)*Assumptions!$D$77)+Cover_NetCash)/'Income Statement'!$E$60,"n/m")</f>
        <v>57.2252471944433</v>
      </c>
    </row>
    <row r="71" customFormat="false" ht="15" hidden="false" customHeight="false" outlineLevel="0" collapsed="false">
      <c r="B71" s="87" t="n">
        <v>0.15</v>
      </c>
      <c r="C71" s="17" t="n">
        <f aca="false">IFERROR(((((((((('Income Statement'!$C$37*(1+0.15))+(('Income Statement'!$C$37*(1+0.15))*(1+0.15)))/2)*1000*C$69)+'Income Statement'!$E$43)*'Income Statement'!$E$46)-'Income Statement'!$E$49)*Assumptions!$D$77)+Cover_NetCash)/'Income Statement'!$E$60,"n/m")</f>
        <v>30.2589694173454</v>
      </c>
      <c r="D71" s="17" t="n">
        <f aca="false">IFERROR(((((((((('Income Statement'!$C$37*(1+0.15))+(('Income Statement'!$C$37*(1+0.15))*(1+0.15)))/2)*1000*D$69)+'Income Statement'!$E$43)*'Income Statement'!$E$46)-'Income Statement'!$E$49)*Assumptions!$D$77)+Cover_NetCash)/'Income Statement'!$E$60,"n/m")</f>
        <v>38.1704641434059</v>
      </c>
      <c r="E71" s="17" t="n">
        <f aca="false">IFERROR(((((((((('Income Statement'!$C$37*(1+0.15))+(('Income Statement'!$C$37*(1+0.15))*(1+0.15)))/2)*1000*E$69)+'Income Statement'!$E$43)*'Income Statement'!$E$46)-'Income Statement'!$E$49)*Assumptions!$D$77)+Cover_NetCash)/'Income Statement'!$E$60,"n/m")</f>
        <v>46.0819588694663</v>
      </c>
      <c r="F71" s="17" t="n">
        <f aca="false">IFERROR(((((((((('Income Statement'!$C$37*(1+0.15))+(('Income Statement'!$C$37*(1+0.15))*(1+0.15)))/2)*1000*F$69)+'Income Statement'!$E$43)*'Income Statement'!$E$46)-'Income Statement'!$E$49)*Assumptions!$D$77)+Cover_NetCash)/'Income Statement'!$E$60,"n/m")</f>
        <v>53.9934535955268</v>
      </c>
      <c r="G71" s="17" t="n">
        <f aca="false">IFERROR(((((((((('Income Statement'!$C$37*(1+0.15))+(('Income Statement'!$C$37*(1+0.15))*(1+0.15)))/2)*1000*G$69)+'Income Statement'!$E$43)*'Income Statement'!$E$46)-'Income Statement'!$E$49)*Assumptions!$D$77)+Cover_NetCash)/'Income Statement'!$E$60,"n/m")</f>
        <v>61.9049483215872</v>
      </c>
    </row>
    <row r="72" customFormat="false" ht="15" hidden="false" customHeight="false" outlineLevel="0" collapsed="false">
      <c r="B72" s="87" t="n">
        <v>0.2</v>
      </c>
      <c r="C72" s="17" t="n">
        <f aca="false">IFERROR(((((((((('Income Statement'!$C$37*(1+0.2))+(('Income Statement'!$C$37*(1+0.2))*(1+0.2)))/2)*1000*C$69)+'Income Statement'!$E$43)*'Income Statement'!$E$46)-'Income Statement'!$E$49)*Assumptions!$D$77)+Cover_NetCash)/'Income Statement'!$E$60,"n/m")</f>
        <v>32.9387982679321</v>
      </c>
      <c r="D72" s="17" t="n">
        <f aca="false">IFERROR(((((((((('Income Statement'!$C$37*(1+0.2))+(('Income Statement'!$C$37*(1+0.2))*(1+0.2)))/2)*1000*D$69)+'Income Statement'!$E$43)*'Income Statement'!$E$46)-'Income Statement'!$E$49)*Assumptions!$D$77)+Cover_NetCash)/'Income Statement'!$E$60,"n/m")</f>
        <v>41.3862587641099</v>
      </c>
      <c r="E72" s="17" t="n">
        <f aca="false">IFERROR(((((((((('Income Statement'!$C$37*(1+0.2))+(('Income Statement'!$C$37*(1+0.2))*(1+0.2)))/2)*1000*E$69)+'Income Statement'!$E$43)*'Income Statement'!$E$46)-'Income Statement'!$E$49)*Assumptions!$D$77)+Cover_NetCash)/'Income Statement'!$E$60,"n/m")</f>
        <v>49.8337192602877</v>
      </c>
      <c r="F72" s="17" t="n">
        <f aca="false">IFERROR(((((((((('Income Statement'!$C$37*(1+0.2))+(('Income Statement'!$C$37*(1+0.2))*(1+0.2)))/2)*1000*F$69)+'Income Statement'!$E$43)*'Income Statement'!$E$46)-'Income Statement'!$E$49)*Assumptions!$D$77)+Cover_NetCash)/'Income Statement'!$E$60,"n/m")</f>
        <v>58.2811797564655</v>
      </c>
      <c r="G72" s="17" t="n">
        <f aca="false">IFERROR(((((((((('Income Statement'!$C$37*(1+0.2))+(('Income Statement'!$C$37*(1+0.2))*(1+0.2)))/2)*1000*G$69)+'Income Statement'!$E$43)*'Income Statement'!$E$46)-'Income Statement'!$E$49)*Assumptions!$D$77)+Cover_NetCash)/'Income Statement'!$E$60,"n/m")</f>
        <v>66.7286402526433</v>
      </c>
    </row>
    <row r="73" customFormat="false" ht="15" hidden="false" customHeight="false" outlineLevel="0" collapsed="false">
      <c r="B73" s="87" t="n">
        <v>0.25</v>
      </c>
      <c r="C73" s="17" t="n">
        <f aca="false">IFERROR(((((((((('Income Statement'!$C$37*(1+0.25))+(('Income Statement'!$C$37*(1+0.25))*(1+0.25)))/2)*1000*C$69)+'Income Statement'!$E$43)*'Income Statement'!$E$46)-'Income Statement'!$E$49)*Assumptions!$D$77)+Cover_NetCash)/'Income Statement'!$E$60,"n/m")</f>
        <v>35.6986220095811</v>
      </c>
      <c r="D73" s="17" t="n">
        <f aca="false">IFERROR(((((((((('Income Statement'!$C$37*(1+0.25))+(('Income Statement'!$C$37*(1+0.25))*(1+0.25)))/2)*1000*D$69)+'Income Statement'!$E$43)*'Income Statement'!$E$46)-'Income Statement'!$E$49)*Assumptions!$D$77)+Cover_NetCash)/'Income Statement'!$E$60,"n/m")</f>
        <v>44.6980472540887</v>
      </c>
      <c r="E73" s="17" t="n">
        <f aca="false">IFERROR(((((((((('Income Statement'!$C$37*(1+0.25))+(('Income Statement'!$C$37*(1+0.25))*(1+0.25)))/2)*1000*E$69)+'Income Statement'!$E$43)*'Income Statement'!$E$46)-'Income Statement'!$E$49)*Assumptions!$D$77)+Cover_NetCash)/'Income Statement'!$E$60,"n/m")</f>
        <v>53.6974724985963</v>
      </c>
      <c r="F73" s="17" t="n">
        <f aca="false">IFERROR(((((((((('Income Statement'!$C$37*(1+0.25))+(('Income Statement'!$C$37*(1+0.25))*(1+0.25)))/2)*1000*F$69)+'Income Statement'!$E$43)*'Income Statement'!$E$46)-'Income Statement'!$E$49)*Assumptions!$D$77)+Cover_NetCash)/'Income Statement'!$E$60,"n/m")</f>
        <v>62.6968977431039</v>
      </c>
      <c r="G73" s="17" t="n">
        <f aca="false">IFERROR(((((((((('Income Statement'!$C$37*(1+0.25))+(('Income Statement'!$C$37*(1+0.25))*(1+0.25)))/2)*1000*G$69)+'Income Statement'!$E$43)*'Income Statement'!$E$46)-'Income Statement'!$E$49)*Assumptions!$D$77)+Cover_NetCash)/'Income Statement'!$E$60,"n/m")</f>
        <v>71.6963229876115</v>
      </c>
    </row>
    <row r="74" customFormat="false" ht="15" hidden="false" customHeight="false" outlineLevel="0" collapsed="false">
      <c r="B74" s="87" t="n">
        <v>0.3</v>
      </c>
      <c r="C74" s="17" t="n">
        <f aca="false">IFERROR(((((((((('Income Statement'!$C$37*(1+0.3))+(('Income Statement'!$C$37*(1+0.3))*(1+0.3)))/2)*1000*C$69)+'Income Statement'!$E$43)*'Income Statement'!$E$46)-'Income Statement'!$E$49)*Assumptions!$D$77)+Cover_NetCash)/'Income Statement'!$E$60,"n/m")</f>
        <v>38.5384406422924</v>
      </c>
      <c r="D74" s="17" t="n">
        <f aca="false">IFERROR(((((((((('Income Statement'!$C$37*(1+0.3))+(('Income Statement'!$C$37*(1+0.3))*(1+0.3)))/2)*1000*D$69)+'Income Statement'!$E$43)*'Income Statement'!$E$46)-'Income Statement'!$E$49)*Assumptions!$D$77)+Cover_NetCash)/'Income Statement'!$E$60,"n/m")</f>
        <v>48.1058296133423</v>
      </c>
      <c r="E74" s="17" t="n">
        <f aca="false">IFERROR(((((((((('Income Statement'!$C$37*(1+0.3))+(('Income Statement'!$C$37*(1+0.3))*(1+0.3)))/2)*1000*E$69)+'Income Statement'!$E$43)*'Income Statement'!$E$46)-'Income Statement'!$E$49)*Assumptions!$D$77)+Cover_NetCash)/'Income Statement'!$E$60,"n/m")</f>
        <v>57.6732185843921</v>
      </c>
      <c r="F74" s="17" t="n">
        <f aca="false">IFERROR(((((((((('Income Statement'!$C$37*(1+0.3))+(('Income Statement'!$C$37*(1+0.3))*(1+0.3)))/2)*1000*F$69)+'Income Statement'!$E$43)*'Income Statement'!$E$46)-'Income Statement'!$E$49)*Assumptions!$D$77)+Cover_NetCash)/'Income Statement'!$E$60,"n/m")</f>
        <v>67.240607555442</v>
      </c>
      <c r="G74" s="17" t="n">
        <f aca="false">IFERROR(((((((((('Income Statement'!$C$37*(1+0.3))+(('Income Statement'!$C$37*(1+0.3))*(1+0.3)))/2)*1000*G$69)+'Income Statement'!$E$43)*'Income Statement'!$E$46)-'Income Statement'!$E$49)*Assumptions!$D$77)+Cover_NetCash)/'Income Statement'!$E$60,"n/m")</f>
        <v>76.8079965264918</v>
      </c>
    </row>
    <row r="77" customFormat="false" ht="15" hidden="false" customHeight="false" outlineLevel="0" collapsed="false">
      <c r="B77" s="54" t="s">
        <v>325</v>
      </c>
      <c r="C77" s="86" t="n">
        <v>0.38</v>
      </c>
      <c r="D77" s="86" t="n">
        <v>0.4</v>
      </c>
      <c r="E77" s="86" t="n">
        <v>0.425</v>
      </c>
      <c r="F77" s="86" t="n">
        <v>0.45</v>
      </c>
      <c r="G77" s="86" t="n">
        <v>0.475</v>
      </c>
    </row>
    <row r="78" customFormat="false" ht="15" hidden="false" customHeight="false" outlineLevel="0" collapsed="false">
      <c r="B78" s="87" t="n">
        <v>0.1</v>
      </c>
      <c r="C78" s="17" t="n">
        <f aca="false">IFERROR(((((((((('Income Statement'!$C$37*(1+0.1))+(('Income Statement'!$C$37*(1+0.1))*(1+0.1)))/2)*1000*'Income Statement'!$E$39)+'Income Statement'!$E$43)*C$77)-'Income Statement'!$E$49)*Assumptions!$D$77)+Cover_NetCash)/'Income Statement'!$E$60,"n/m")</f>
        <v>28.2831965437744</v>
      </c>
      <c r="D78" s="17" t="n">
        <f aca="false">IFERROR(((((((((('Income Statement'!$C$37*(1+0.1))+(('Income Statement'!$C$37*(1+0.1))*(1+0.1)))/2)*1000*'Income Statement'!$E$39)+'Income Statement'!$E$43)*D$77)-'Income Statement'!$E$49)*Assumptions!$D$77)+Cover_NetCash)/'Income Statement'!$E$60,"n/m")</f>
        <v>30.6339348821616</v>
      </c>
      <c r="E78" s="17" t="n">
        <f aca="false">IFERROR(((((((((('Income Statement'!$C$37*(1+0.1))+(('Income Statement'!$C$37*(1+0.1))*(1+0.1)))/2)*1000*'Income Statement'!$E$39)+'Income Statement'!$E$43)*E$77)-'Income Statement'!$E$49)*Assumptions!$D$77)+Cover_NetCash)/'Income Statement'!$E$60,"n/m")</f>
        <v>33.5723578051455</v>
      </c>
      <c r="F78" s="17" t="n">
        <f aca="false">IFERROR(((((((((('Income Statement'!$C$37*(1+0.1))+(('Income Statement'!$C$37*(1+0.1))*(1+0.1)))/2)*1000*'Income Statement'!$E$39)+'Income Statement'!$E$43)*F$77)-'Income Statement'!$E$49)*Assumptions!$D$77)+Cover_NetCash)/'Income Statement'!$E$60,"n/m")</f>
        <v>36.5107807281294</v>
      </c>
      <c r="G78" s="17" t="n">
        <f aca="false">IFERROR(((((((((('Income Statement'!$C$37*(1+0.1))+(('Income Statement'!$C$37*(1+0.1))*(1+0.1)))/2)*1000*'Income Statement'!$E$39)+'Income Statement'!$E$43)*G$77)-'Income Statement'!$E$49)*Assumptions!$D$77)+Cover_NetCash)/'Income Statement'!$E$60,"n/m")</f>
        <v>39.4492036511133</v>
      </c>
    </row>
    <row r="79" customFormat="false" ht="15" hidden="false" customHeight="false" outlineLevel="0" collapsed="false">
      <c r="B79" s="87" t="n">
        <v>0.15</v>
      </c>
      <c r="C79" s="17" t="n">
        <f aca="false">IFERROR(((((((((('Income Statement'!$C$37*(1+0.15))+(('Income Statement'!$C$37*(1+0.15))*(1+0.15)))/2)*1000*'Income Statement'!$E$39)+'Income Statement'!$E$43)*C$77)-'Income Statement'!$E$49)*Assumptions!$D$77)+Cover_NetCash)/'Income Statement'!$E$60,"n/m")</f>
        <v>30.9796831540294</v>
      </c>
      <c r="D79" s="17" t="n">
        <f aca="false">IFERROR(((((((((('Income Statement'!$C$37*(1+0.15))+(('Income Statement'!$C$37*(1+0.15))*(1+0.15)))/2)*1000*'Income Statement'!$E$39)+'Income Statement'!$E$43)*D$77)-'Income Statement'!$E$49)*Assumptions!$D$77)+Cover_NetCash)/'Income Statement'!$E$60,"n/m")</f>
        <v>33.4723418403247</v>
      </c>
      <c r="E79" s="17" t="n">
        <f aca="false">IFERROR(((((((((('Income Statement'!$C$37*(1+0.15))+(('Income Statement'!$C$37*(1+0.15))*(1+0.15)))/2)*1000*'Income Statement'!$E$39)+'Income Statement'!$E$43)*E$77)-'Income Statement'!$E$49)*Assumptions!$D$77)+Cover_NetCash)/'Income Statement'!$E$60,"n/m")</f>
        <v>36.5881651981938</v>
      </c>
      <c r="F79" s="17" t="n">
        <f aca="false">IFERROR(((((((((('Income Statement'!$C$37*(1+0.15))+(('Income Statement'!$C$37*(1+0.15))*(1+0.15)))/2)*1000*'Income Statement'!$E$39)+'Income Statement'!$E$43)*F$77)-'Income Statement'!$E$49)*Assumptions!$D$77)+Cover_NetCash)/'Income Statement'!$E$60,"n/m")</f>
        <v>39.7039885560629</v>
      </c>
      <c r="G79" s="17" t="n">
        <f aca="false">IFERROR(((((((((('Income Statement'!$C$37*(1+0.15))+(('Income Statement'!$C$37*(1+0.15))*(1+0.15)))/2)*1000*'Income Statement'!$E$39)+'Income Statement'!$E$43)*G$77)-'Income Statement'!$E$49)*Assumptions!$D$77)+Cover_NetCash)/'Income Statement'!$E$60,"n/m")</f>
        <v>42.819811913932</v>
      </c>
    </row>
    <row r="80" customFormat="false" ht="15" hidden="false" customHeight="false" outlineLevel="0" collapsed="false">
      <c r="B80" s="87" t="n">
        <v>0.2</v>
      </c>
      <c r="C80" s="17" t="n">
        <f aca="false">IFERROR(((((((((('Income Statement'!$C$37*(1+0.2))+(('Income Statement'!$C$37*(1+0.2))*(1+0.2)))/2)*1000*'Income Statement'!$E$39)+'Income Statement'!$E$43)*C$77)-'Income Statement'!$E$49)*Assumptions!$D$77)+Cover_NetCash)/'Income Statement'!$E$60,"n/m")</f>
        <v>33.7591385830614</v>
      </c>
      <c r="D80" s="17" t="n">
        <f aca="false">IFERROR(((((((((('Income Statement'!$C$37*(1+0.2))+(('Income Statement'!$C$37*(1+0.2))*(1+0.2)))/2)*1000*'Income Statement'!$E$39)+'Income Statement'!$E$43)*D$77)-'Income Statement'!$E$49)*Assumptions!$D$77)+Cover_NetCash)/'Income Statement'!$E$60,"n/m")</f>
        <v>36.3980843972005</v>
      </c>
      <c r="E80" s="17" t="n">
        <f aca="false">IFERROR(((((((((('Income Statement'!$C$37*(1+0.2))+(('Income Statement'!$C$37*(1+0.2))*(1+0.2)))/2)*1000*'Income Statement'!$E$39)+'Income Statement'!$E$43)*E$77)-'Income Statement'!$E$49)*Assumptions!$D$77)+Cover_NetCash)/'Income Statement'!$E$60,"n/m")</f>
        <v>39.6967666648744</v>
      </c>
      <c r="F80" s="17" t="n">
        <f aca="false">IFERROR(((((((((('Income Statement'!$C$37*(1+0.2))+(('Income Statement'!$C$37*(1+0.2))*(1+0.2)))/2)*1000*'Income Statement'!$E$39)+'Income Statement'!$E$43)*F$77)-'Income Statement'!$E$49)*Assumptions!$D$77)+Cover_NetCash)/'Income Statement'!$E$60,"n/m")</f>
        <v>42.9954489325482</v>
      </c>
      <c r="G80" s="17" t="n">
        <f aca="false">IFERROR(((((((((('Income Statement'!$C$37*(1+0.2))+(('Income Statement'!$C$37*(1+0.2))*(1+0.2)))/2)*1000*'Income Statement'!$E$39)+'Income Statement'!$E$43)*G$77)-'Income Statement'!$E$49)*Assumptions!$D$77)+Cover_NetCash)/'Income Statement'!$E$60,"n/m")</f>
        <v>46.2941312002221</v>
      </c>
    </row>
    <row r="81" customFormat="false" ht="15" hidden="false" customHeight="false" outlineLevel="0" collapsed="false">
      <c r="B81" s="87" t="n">
        <v>0.25</v>
      </c>
      <c r="C81" s="17" t="n">
        <f aca="false">IFERROR(((((((((('Income Statement'!$C$37*(1+0.25))+(('Income Statement'!$C$37*(1+0.25))*(1+0.25)))/2)*1000*'Income Statement'!$E$39)+'Income Statement'!$E$43)*C$77)-'Income Statement'!$E$49)*Assumptions!$D$77)+Cover_NetCash)/'Income Statement'!$E$60,"n/m")</f>
        <v>36.6215628308706</v>
      </c>
      <c r="D81" s="17" t="n">
        <f aca="false">IFERROR(((((((((('Income Statement'!$C$37*(1+0.25))+(('Income Statement'!$C$37*(1+0.25))*(1+0.25)))/2)*1000*'Income Statement'!$E$39)+'Income Statement'!$E$43)*D$77)-'Income Statement'!$E$49)*Assumptions!$D$77)+Cover_NetCash)/'Income Statement'!$E$60,"n/m")</f>
        <v>39.4111625527891</v>
      </c>
      <c r="E81" s="17" t="n">
        <f aca="false">IFERROR(((((((((('Income Statement'!$C$37*(1+0.25))+(('Income Statement'!$C$37*(1+0.25))*(1+0.25)))/2)*1000*'Income Statement'!$E$39)+'Income Statement'!$E$43)*E$77)-'Income Statement'!$E$49)*Assumptions!$D$77)+Cover_NetCash)/'Income Statement'!$E$60,"n/m")</f>
        <v>42.8981622051872</v>
      </c>
      <c r="F81" s="17" t="n">
        <f aca="false">IFERROR(((((((((('Income Statement'!$C$37*(1+0.25))+(('Income Statement'!$C$37*(1+0.25))*(1+0.25)))/2)*1000*'Income Statement'!$E$39)+'Income Statement'!$E$43)*F$77)-'Income Statement'!$E$49)*Assumptions!$D$77)+Cover_NetCash)/'Income Statement'!$E$60,"n/m")</f>
        <v>46.3851618575853</v>
      </c>
      <c r="G81" s="17" t="n">
        <f aca="false">IFERROR(((((((((('Income Statement'!$C$37*(1+0.25))+(('Income Statement'!$C$37*(1+0.25))*(1+0.25)))/2)*1000*'Income Statement'!$E$39)+'Income Statement'!$E$43)*G$77)-'Income Statement'!$E$49)*Assumptions!$D$77)+Cover_NetCash)/'Income Statement'!$E$60,"n/m")</f>
        <v>49.8721615099834</v>
      </c>
    </row>
    <row r="82" customFormat="false" ht="15" hidden="false" customHeight="false" outlineLevel="0" collapsed="false">
      <c r="B82" s="87" t="n">
        <v>0.3</v>
      </c>
      <c r="C82" s="17" t="n">
        <f aca="false">IFERROR(((((((((('Income Statement'!$C$37*(1+0.3))+(('Income Statement'!$C$37*(1+0.3))*(1+0.3)))/2)*1000*'Income Statement'!$E$39)+'Income Statement'!$E$43)*C$77)-'Income Statement'!$E$49)*Assumptions!$D$77)+Cover_NetCash)/'Income Statement'!$E$60,"n/m")</f>
        <v>39.5669558974568</v>
      </c>
      <c r="D82" s="17" t="n">
        <f aca="false">IFERROR(((((((((('Income Statement'!$C$37*(1+0.3))+(('Income Statement'!$C$37*(1+0.3))*(1+0.3)))/2)*1000*'Income Statement'!$E$39)+'Income Statement'!$E$43)*D$77)-'Income Statement'!$E$49)*Assumptions!$D$77)+Cover_NetCash)/'Income Statement'!$E$60,"n/m")</f>
        <v>42.5115763070903</v>
      </c>
      <c r="E82" s="17" t="n">
        <f aca="false">IFERROR(((((((((('Income Statement'!$C$37*(1+0.3))+(('Income Statement'!$C$37*(1+0.3))*(1+0.3)))/2)*1000*'Income Statement'!$E$39)+'Income Statement'!$E$43)*E$77)-'Income Statement'!$E$49)*Assumptions!$D$77)+Cover_NetCash)/'Income Statement'!$E$60,"n/m")</f>
        <v>46.1923518191323</v>
      </c>
      <c r="F82" s="17" t="n">
        <f aca="false">IFERROR(((((((((('Income Statement'!$C$37*(1+0.3))+(('Income Statement'!$C$37*(1+0.3))*(1+0.3)))/2)*1000*'Income Statement'!$E$39)+'Income Statement'!$E$43)*F$77)-'Income Statement'!$E$49)*Assumptions!$D$77)+Cover_NetCash)/'Income Statement'!$E$60,"n/m")</f>
        <v>49.8731273311742</v>
      </c>
      <c r="G82" s="17" t="n">
        <f aca="false">IFERROR(((((((((('Income Statement'!$C$37*(1+0.3))+(('Income Statement'!$C$37*(1+0.3))*(1+0.3)))/2)*1000*'Income Statement'!$E$39)+'Income Statement'!$E$43)*G$77)-'Income Statement'!$E$49)*Assumptions!$D$77)+Cover_NetCash)/'Income Statement'!$E$60,"n/m")</f>
        <v>53.5539028432162</v>
      </c>
    </row>
    <row r="85" customFormat="false" ht="43.5" hidden="false" customHeight="true" outlineLevel="0" collapsed="false">
      <c r="B85" s="19" t="s">
        <v>326</v>
      </c>
      <c r="C85" s="19"/>
      <c r="D85" s="19"/>
      <c r="E85" s="19"/>
      <c r="F85" s="19"/>
      <c r="G85" s="19"/>
    </row>
    <row r="88" customFormat="false" ht="19.5" hidden="false" customHeight="true" outlineLevel="0" collapsed="false">
      <c r="A88" s="6" t="s">
        <v>327</v>
      </c>
      <c r="B88" s="6"/>
      <c r="C88" s="6"/>
      <c r="D88" s="6"/>
      <c r="E88" s="6"/>
      <c r="F88" s="6"/>
    </row>
    <row r="89" customFormat="false" ht="57.75" hidden="false" customHeight="true" outlineLevel="0" collapsed="false">
      <c r="B89" s="19" t="s">
        <v>328</v>
      </c>
      <c r="C89" s="19"/>
      <c r="D89" s="19"/>
      <c r="E89" s="19"/>
      <c r="F89" s="19"/>
      <c r="G89" s="19"/>
    </row>
    <row r="93" customFormat="false" ht="15" hidden="false" customHeight="false" outlineLevel="0" collapsed="false">
      <c r="B93" s="7" t="s">
        <v>329</v>
      </c>
      <c r="C93" s="30" t="n">
        <f aca="false">(Cover_Price*'Income Statement'!$E$60-Cover_NetCash)/Assumptions!$D$77</f>
        <v>2457.66952052884</v>
      </c>
      <c r="E93" s="3" t="s">
        <v>330</v>
      </c>
      <c r="G93" s="22" t="n">
        <f aca="false">'Income Statement'!$E$50</f>
        <v>958.1827128</v>
      </c>
    </row>
    <row r="94" customFormat="false" ht="15" hidden="false" customHeight="false" outlineLevel="0" collapsed="false">
      <c r="B94" s="3" t="s">
        <v>331</v>
      </c>
      <c r="C94" s="78" t="n">
        <f aca="false">IFERROR(C93/G93,"-")</f>
        <v>2.56492784486483</v>
      </c>
    </row>
    <row r="96" customFormat="false" ht="15" hidden="false" customHeight="false" outlineLevel="0" collapsed="false">
      <c r="B96" s="3" t="s">
        <v>332</v>
      </c>
      <c r="C96" s="30" t="n">
        <f aca="false">(C93+'Income Statement'!$E$49)/'Income Statement'!$E$46</f>
        <v>7367.69298947963</v>
      </c>
    </row>
    <row r="97" customFormat="false" ht="15" hidden="false" customHeight="false" outlineLevel="0" collapsed="false">
      <c r="B97" s="3" t="s">
        <v>333</v>
      </c>
      <c r="C97" s="30" t="n">
        <f aca="false">C96-'Income Statement'!$E$43</f>
        <v>6867.69298947963</v>
      </c>
    </row>
    <row r="99" customFormat="false" ht="27.75" hidden="false" customHeight="true" outlineLevel="0" collapsed="false">
      <c r="B99" s="25" t="s">
        <v>334</v>
      </c>
      <c r="C99" s="61" t="n">
        <f aca="false">IFERROR(((2*(C97/(1000*'Income Statement'!$E$39))-'Income Statement'!$D$37)/'Income Statement'!$C$37)^(1/2)-1,"-")</f>
        <v>1.01534946302273</v>
      </c>
      <c r="E99" s="3" t="s">
        <v>335</v>
      </c>
      <c r="G99" s="21" t="n">
        <f aca="false">IFERROR(('Income Statement'!$E$37/'Income Statement'!$C$37)^(1/2)-1,"-")</f>
        <v>0.169957264176773</v>
      </c>
    </row>
    <row r="101" customFormat="false" ht="15" hidden="false" customHeight="false" outlineLevel="0" collapsed="false">
      <c r="B101" s="7" t="s">
        <v>336</v>
      </c>
      <c r="C101" s="61" t="n">
        <f aca="false">IFERROR(C97/('Income Statement'!$E$38*1000),"-")</f>
        <v>0.0596387987621915</v>
      </c>
      <c r="E101" s="3" t="s">
        <v>337</v>
      </c>
      <c r="G101" s="21" t="n">
        <f aca="false">'Income Statement'!$E$39</f>
        <v>0.029</v>
      </c>
    </row>
    <row r="103" customFormat="false" ht="15" hidden="false" customHeight="false" outlineLevel="0" collapsed="false">
      <c r="B103" s="7" t="s">
        <v>338</v>
      </c>
      <c r="C103" s="61" t="n">
        <f aca="false">IFERROR((C93+'Income Statement'!$E$49)/'Income Statement'!$E$44,"-")</f>
        <v>0.815543353772413</v>
      </c>
      <c r="E103" s="3" t="s">
        <v>339</v>
      </c>
      <c r="G103" s="21" t="n">
        <f aca="false">'Income Statement'!$E$46</f>
        <v>0.425</v>
      </c>
    </row>
    <row r="105" customFormat="false" ht="15" hidden="false" customHeight="false" outlineLevel="0" collapsed="false">
      <c r="B105" s="7" t="s">
        <v>340</v>
      </c>
      <c r="C105" s="78" t="n">
        <f aca="false">IFERROR((Cover_Price*'Income Statement'!$E$60-Cover_NetCash)/'Income Statement'!$E$50,"-")</f>
        <v>24.3668145262159</v>
      </c>
      <c r="E105" s="3" t="s">
        <v>341</v>
      </c>
      <c r="G105" s="85" t="n">
        <f aca="false">Assumptions!$D$77</f>
        <v>9.5</v>
      </c>
    </row>
    <row r="108" customFormat="false" ht="67.5" hidden="false" customHeight="true" outlineLevel="0" collapsed="false">
      <c r="B108" s="19" t="s">
        <v>342</v>
      </c>
      <c r="C108" s="19"/>
      <c r="D108" s="19"/>
      <c r="E108" s="19"/>
      <c r="F108" s="19"/>
      <c r="G108" s="19"/>
    </row>
    <row r="112" customFormat="false" ht="19.5" hidden="false" customHeight="true" outlineLevel="0" collapsed="false">
      <c r="A112" s="6" t="s">
        <v>343</v>
      </c>
      <c r="B112" s="6"/>
      <c r="C112" s="6"/>
      <c r="D112" s="6"/>
      <c r="E112" s="6"/>
      <c r="F112" s="6"/>
    </row>
    <row r="113" customFormat="false" ht="15" hidden="false" customHeight="false" outlineLevel="0" collapsed="false">
      <c r="B113" s="12"/>
      <c r="C113" s="12" t="s">
        <v>26</v>
      </c>
      <c r="D113" s="12" t="s">
        <v>27</v>
      </c>
      <c r="E113" s="12" t="s">
        <v>28</v>
      </c>
    </row>
    <row r="114" customFormat="false" ht="15" hidden="false" customHeight="false" outlineLevel="0" collapsed="false">
      <c r="B114" s="7" t="s">
        <v>344</v>
      </c>
      <c r="C114" s="17" t="n">
        <f aca="false">C38</f>
        <v>13.5088385795399</v>
      </c>
      <c r="D114" s="17" t="n">
        <f aca="false">D38</f>
        <v>38.004202761822</v>
      </c>
      <c r="E114" s="17" t="n">
        <f aca="false">E38</f>
        <v>108.205869982795</v>
      </c>
    </row>
    <row r="115" customFormat="false" ht="15" hidden="false" customHeight="false" outlineLevel="0" collapsed="false">
      <c r="B115" s="7" t="s">
        <v>345</v>
      </c>
      <c r="C115" s="17" t="n">
        <f aca="false">C49</f>
        <v>18.9831771152955</v>
      </c>
      <c r="D115" s="17" t="n">
        <f aca="false">D49</f>
        <v>37.1380106772444</v>
      </c>
      <c r="E115" s="17" t="n">
        <f aca="false">E49</f>
        <v>66.5295780839304</v>
      </c>
    </row>
    <row r="116" customFormat="false" ht="15" hidden="false" customHeight="false" outlineLevel="0" collapsed="false">
      <c r="B116" s="4" t="s">
        <v>31</v>
      </c>
      <c r="C116" s="88" t="n">
        <f aca="false">AVERAGE(C114,C115)</f>
        <v>16.2460078474177</v>
      </c>
      <c r="D116" s="88" t="n">
        <f aca="false">AVERAGE(D114,D115)</f>
        <v>37.5711067195332</v>
      </c>
      <c r="E116" s="88" t="n">
        <f aca="false">AVERAGE(E114,E115)</f>
        <v>87.3677240333627</v>
      </c>
    </row>
    <row r="117" customFormat="false" ht="15" hidden="false" customHeight="false" outlineLevel="0" collapsed="false">
      <c r="B117" s="4" t="s">
        <v>32</v>
      </c>
      <c r="C117" s="15" t="n">
        <f aca="false">Cover_Price</f>
        <v>87.98</v>
      </c>
      <c r="D117" s="15" t="n">
        <f aca="false">Cover_Price</f>
        <v>87.98</v>
      </c>
      <c r="E117" s="15" t="n">
        <f aca="false">Cover_Price</f>
        <v>87.98</v>
      </c>
    </row>
    <row r="118" customFormat="false" ht="15" hidden="false" customHeight="false" outlineLevel="0" collapsed="false">
      <c r="B118" s="3" t="s">
        <v>346</v>
      </c>
      <c r="C118" s="16" t="n">
        <f aca="false">IFERROR(C116/C117-1,"-")</f>
        <v>-0.815344307258267</v>
      </c>
      <c r="D118" s="16" t="n">
        <f aca="false">IFERROR(D116/D117-1,"-")</f>
        <v>-0.572958550584983</v>
      </c>
      <c r="E118" s="16" t="n">
        <f aca="false">IFERROR(E116/E117-1,"-")</f>
        <v>-0.00695926308976258</v>
      </c>
    </row>
    <row r="119" customFormat="false" ht="15" hidden="false" customHeight="false" outlineLevel="0" collapsed="false">
      <c r="B119" s="3" t="s">
        <v>347</v>
      </c>
      <c r="C119" s="17" t="n">
        <f aca="false">$E$27</f>
        <v>105</v>
      </c>
      <c r="D119" s="17" t="n">
        <f aca="false">$E$27</f>
        <v>105</v>
      </c>
      <c r="E119" s="17" t="n">
        <f aca="false">$E$27</f>
        <v>105</v>
      </c>
    </row>
    <row r="121" customFormat="false" ht="30" hidden="false" customHeight="true" outlineLevel="0" collapsed="false">
      <c r="B121" s="14" t="s">
        <v>348</v>
      </c>
      <c r="C121" s="15" t="n">
        <f aca="false">0.25*C116+0.5*D116+0.25*E116</f>
        <v>44.6889863299617</v>
      </c>
      <c r="E121" s="24" t="s">
        <v>349</v>
      </c>
    </row>
    <row r="123" customFormat="false" ht="39.75" hidden="false" customHeight="true" outlineLevel="0" collapsed="false">
      <c r="B123" s="19" t="s">
        <v>350</v>
      </c>
      <c r="C123" s="19"/>
      <c r="D123" s="19"/>
      <c r="E123" s="19"/>
      <c r="F123" s="19"/>
      <c r="G123" s="19"/>
    </row>
    <row r="126" customFormat="false" ht="55.5" hidden="false" customHeight="true" outlineLevel="0" collapsed="false">
      <c r="B126" s="19" t="s">
        <v>351</v>
      </c>
      <c r="C126" s="19"/>
      <c r="D126" s="19"/>
      <c r="E126" s="19"/>
      <c r="F126" s="19"/>
      <c r="G126" s="19"/>
    </row>
    <row r="130" customFormat="false" ht="67.5" hidden="false" customHeight="true" outlineLevel="0" collapsed="false">
      <c r="B130" s="19" t="s">
        <v>352</v>
      </c>
      <c r="C130" s="19"/>
      <c r="D130" s="19"/>
      <c r="E130" s="19"/>
      <c r="F130" s="19"/>
      <c r="G130" s="19"/>
    </row>
  </sheetData>
  <mergeCells count="20">
    <mergeCell ref="A2:G2"/>
    <mergeCell ref="B11:H11"/>
    <mergeCell ref="A13:F13"/>
    <mergeCell ref="B28:G28"/>
    <mergeCell ref="A31:F31"/>
    <mergeCell ref="A40:F40"/>
    <mergeCell ref="B41:G41"/>
    <mergeCell ref="B51:G51"/>
    <mergeCell ref="A54:F54"/>
    <mergeCell ref="B55:G55"/>
    <mergeCell ref="A65:F65"/>
    <mergeCell ref="B66:G66"/>
    <mergeCell ref="B85:G85"/>
    <mergeCell ref="A88:F88"/>
    <mergeCell ref="B89:G89"/>
    <mergeCell ref="B108:G108"/>
    <mergeCell ref="A112:F112"/>
    <mergeCell ref="B123:G123"/>
    <mergeCell ref="B126:G126"/>
    <mergeCell ref="B130:G1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8" min="3" style="0" width="14"/>
    <col collapsed="false" customWidth="true" hidden="false" outlineLevel="0" max="9" min="9" style="0" width="3"/>
  </cols>
  <sheetData>
    <row r="2" customFormat="false" ht="19.5" hidden="false" customHeight="true" outlineLevel="0" collapsed="false">
      <c r="A2" s="6" t="s">
        <v>353</v>
      </c>
      <c r="B2" s="6"/>
      <c r="C2" s="6"/>
      <c r="D2" s="6"/>
      <c r="E2" s="6"/>
      <c r="F2" s="6"/>
      <c r="G2" s="6"/>
    </row>
    <row r="4" customFormat="false" ht="15" hidden="false" customHeight="false" outlineLevel="0" collapsed="false">
      <c r="B4" s="12" t="s">
        <v>354</v>
      </c>
      <c r="C4" s="12" t="s">
        <v>355</v>
      </c>
      <c r="D4" s="12" t="s">
        <v>356</v>
      </c>
    </row>
    <row r="5" customFormat="false" ht="15" hidden="false" customHeight="false" outlineLevel="0" collapsed="false">
      <c r="B5" s="26" t="s">
        <v>357</v>
      </c>
      <c r="C5" s="37" t="n">
        <v>71.93</v>
      </c>
      <c r="D5" s="38" t="s">
        <v>358</v>
      </c>
    </row>
    <row r="6" customFormat="false" ht="15" hidden="false" customHeight="false" outlineLevel="0" collapsed="false">
      <c r="B6" s="26" t="s">
        <v>359</v>
      </c>
      <c r="C6" s="34" t="n">
        <v>0.23</v>
      </c>
      <c r="D6" s="38" t="s">
        <v>360</v>
      </c>
    </row>
    <row r="7" customFormat="false" ht="15" hidden="false" customHeight="false" outlineLevel="0" collapsed="false">
      <c r="B7" s="26" t="s">
        <v>361</v>
      </c>
      <c r="C7" s="89" t="n">
        <v>0.3488</v>
      </c>
      <c r="D7" s="38" t="s">
        <v>362</v>
      </c>
    </row>
    <row r="8" customFormat="false" ht="15" hidden="false" customHeight="false" outlineLevel="0" collapsed="false">
      <c r="B8" s="26" t="s">
        <v>363</v>
      </c>
      <c r="C8" s="37" t="n">
        <v>183.4</v>
      </c>
      <c r="D8" s="38" t="s">
        <v>358</v>
      </c>
    </row>
    <row r="9" customFormat="false" ht="15" hidden="false" customHeight="false" outlineLevel="0" collapsed="false">
      <c r="B9" s="26" t="s">
        <v>364</v>
      </c>
      <c r="C9" s="34" t="n">
        <v>0.59</v>
      </c>
      <c r="D9" s="38" t="s">
        <v>358</v>
      </c>
    </row>
    <row r="10" customFormat="false" ht="15" hidden="false" customHeight="false" outlineLevel="0" collapsed="false">
      <c r="B10" s="26" t="s">
        <v>365</v>
      </c>
      <c r="C10" s="37" t="n">
        <v>310.5</v>
      </c>
      <c r="D10" s="38" t="s">
        <v>366</v>
      </c>
    </row>
    <row r="12" customFormat="false" ht="48" hidden="false" customHeight="true" outlineLevel="0" collapsed="false">
      <c r="B12" s="19" t="s">
        <v>367</v>
      </c>
      <c r="C12" s="19"/>
      <c r="D12" s="19"/>
      <c r="E12" s="19"/>
      <c r="F12" s="19"/>
      <c r="G12" s="19"/>
      <c r="H12" s="19"/>
    </row>
    <row r="14" customFormat="false" ht="19.5" hidden="false" customHeight="true" outlineLevel="0" collapsed="false">
      <c r="A14" s="6" t="s">
        <v>368</v>
      </c>
      <c r="B14" s="6"/>
      <c r="C14" s="6"/>
      <c r="D14" s="6"/>
      <c r="E14" s="6"/>
      <c r="F14" s="6"/>
      <c r="G14" s="6"/>
    </row>
    <row r="15" customFormat="false" ht="42" hidden="false" customHeight="true" outlineLevel="0" collapsed="false">
      <c r="B15" s="19" t="s">
        <v>369</v>
      </c>
      <c r="C15" s="19"/>
      <c r="D15" s="19"/>
      <c r="E15" s="19"/>
      <c r="F15" s="19"/>
      <c r="G15" s="19"/>
      <c r="H15" s="19"/>
    </row>
    <row r="17" customFormat="false" ht="27.75" hidden="false" customHeight="true" outlineLevel="0" collapsed="false">
      <c r="B17" s="76" t="s">
        <v>370</v>
      </c>
      <c r="C17" s="76" t="s">
        <v>371</v>
      </c>
      <c r="D17" s="76" t="s">
        <v>197</v>
      </c>
      <c r="E17" s="76" t="s">
        <v>372</v>
      </c>
    </row>
    <row r="18" customFormat="false" ht="15" hidden="false" customHeight="false" outlineLevel="0" collapsed="false">
      <c r="B18" s="26" t="s">
        <v>373</v>
      </c>
      <c r="C18" s="22" t="n">
        <f aca="false">'Income Statement'!$C$40</f>
        <v>2899.05</v>
      </c>
      <c r="D18" s="30" t="n">
        <f aca="false">C18*(1-('Historical Financials'!$G$12+0))</f>
        <v>1117.15675453048</v>
      </c>
      <c r="E18" s="30" t="n">
        <v>0</v>
      </c>
    </row>
    <row r="19" customFormat="false" ht="15" hidden="false" customHeight="false" outlineLevel="0" collapsed="false">
      <c r="B19" s="26" t="s">
        <v>374</v>
      </c>
      <c r="C19" s="22" t="n">
        <f aca="false">'Income Statement'!$C$40</f>
        <v>2899.05</v>
      </c>
      <c r="D19" s="30" t="n">
        <f aca="false">C19*(1-('Historical Financials'!$G$12+0.05))</f>
        <v>972.204254530478</v>
      </c>
      <c r="E19" s="30" t="n">
        <f aca="false">D19-D18</f>
        <v>-144.9525</v>
      </c>
    </row>
    <row r="20" customFormat="false" ht="15" hidden="false" customHeight="false" outlineLevel="0" collapsed="false">
      <c r="B20" s="26" t="s">
        <v>375</v>
      </c>
      <c r="C20" s="22" t="n">
        <f aca="false">'Income Statement'!$C$40</f>
        <v>2899.05</v>
      </c>
      <c r="D20" s="30" t="n">
        <f aca="false">C20*(1-('Historical Financials'!$G$12+0.1))</f>
        <v>827.251754530478</v>
      </c>
      <c r="E20" s="30" t="n">
        <f aca="false">D20-D18</f>
        <v>-289.905</v>
      </c>
    </row>
    <row r="21" customFormat="false" ht="15" hidden="false" customHeight="false" outlineLevel="0" collapsed="false">
      <c r="B21" s="26" t="s">
        <v>376</v>
      </c>
      <c r="C21" s="22" t="n">
        <f aca="false">'Income Statement'!$C$40</f>
        <v>2899.05</v>
      </c>
      <c r="D21" s="30" t="n">
        <f aca="false">C21*(1-('Historical Financials'!$G$12+0.15))</f>
        <v>682.299254530478</v>
      </c>
      <c r="E21" s="30" t="n">
        <f aca="false">D21-D18</f>
        <v>-434.8575</v>
      </c>
    </row>
    <row r="22" customFormat="false" ht="15" hidden="false" customHeight="false" outlineLevel="0" collapsed="false">
      <c r="B22" s="26" t="s">
        <v>377</v>
      </c>
      <c r="C22" s="22" t="n">
        <f aca="false">'Income Statement'!$C$40</f>
        <v>2899.05</v>
      </c>
      <c r="D22" s="30" t="n">
        <f aca="false">C22*(1-('Historical Financials'!$G$12+-0.05))</f>
        <v>1262.10925453048</v>
      </c>
      <c r="E22" s="30" t="n">
        <f aca="false">D22-D18</f>
        <v>144.9525</v>
      </c>
    </row>
    <row r="25" customFormat="false" ht="19.5" hidden="false" customHeight="true" outlineLevel="0" collapsed="false">
      <c r="A25" s="6" t="s">
        <v>378</v>
      </c>
      <c r="B25" s="6"/>
      <c r="C25" s="6"/>
      <c r="D25" s="6"/>
      <c r="E25" s="6"/>
      <c r="F25" s="6"/>
      <c r="G25" s="6"/>
    </row>
    <row r="26" customFormat="false" ht="54.75" hidden="false" customHeight="true" outlineLevel="0" collapsed="false">
      <c r="B26" s="19" t="s">
        <v>379</v>
      </c>
      <c r="C26" s="19"/>
      <c r="D26" s="19"/>
      <c r="E26" s="19"/>
      <c r="F26" s="19"/>
      <c r="G26" s="19"/>
      <c r="H26" s="19"/>
    </row>
    <row r="28" customFormat="false" ht="30" hidden="false" customHeight="true" outlineLevel="0" collapsed="false">
      <c r="B28" s="76" t="s">
        <v>380</v>
      </c>
      <c r="C28" s="76" t="s">
        <v>381</v>
      </c>
      <c r="D28" s="76" t="s">
        <v>382</v>
      </c>
    </row>
    <row r="29" customFormat="false" ht="15" hidden="false" customHeight="false" outlineLevel="0" collapsed="false">
      <c r="B29" s="80" t="s">
        <v>383</v>
      </c>
      <c r="C29" s="59" t="n">
        <f aca="false">-'Income Statement'!$E$37*0</f>
        <v>-0</v>
      </c>
      <c r="D29" s="30" t="n">
        <f aca="false">C29*1000*'Income Statement'!$E$39</f>
        <v>-0</v>
      </c>
    </row>
    <row r="30" customFormat="false" ht="15" hidden="false" customHeight="false" outlineLevel="0" collapsed="false">
      <c r="B30" s="80" t="s">
        <v>384</v>
      </c>
      <c r="C30" s="59" t="n">
        <f aca="false">-'Income Statement'!$E$37*0.05</f>
        <v>-6.1842384</v>
      </c>
      <c r="D30" s="30" t="n">
        <f aca="false">C30*1000*'Income Statement'!$E$39</f>
        <v>-179.3429136</v>
      </c>
    </row>
    <row r="31" customFormat="false" ht="15" hidden="false" customHeight="false" outlineLevel="0" collapsed="false">
      <c r="B31" s="80" t="s">
        <v>385</v>
      </c>
      <c r="C31" s="59" t="n">
        <f aca="false">-'Income Statement'!$E$37*0.1</f>
        <v>-12.3684768</v>
      </c>
      <c r="D31" s="30" t="n">
        <f aca="false">C31*1000*'Income Statement'!$E$39</f>
        <v>-358.6858272</v>
      </c>
    </row>
    <row r="32" customFormat="false" ht="15" hidden="false" customHeight="false" outlineLevel="0" collapsed="false">
      <c r="B32" s="80" t="s">
        <v>386</v>
      </c>
      <c r="C32" s="59" t="n">
        <f aca="false">-'Income Statement'!$E$37*0.2</f>
        <v>-24.7369536</v>
      </c>
      <c r="D32" s="30" t="n">
        <f aca="false">C32*1000*'Income Statement'!$E$39</f>
        <v>-717.3716544</v>
      </c>
    </row>
    <row r="35" customFormat="false" ht="19.5" hidden="false" customHeight="true" outlineLevel="0" collapsed="false">
      <c r="A35" s="6" t="s">
        <v>387</v>
      </c>
      <c r="B35" s="6"/>
      <c r="C35" s="6"/>
      <c r="D35" s="6"/>
      <c r="E35" s="6"/>
      <c r="F35" s="6"/>
      <c r="G35" s="6"/>
    </row>
    <row r="36" customFormat="false" ht="60" hidden="false" customHeight="true" outlineLevel="0" collapsed="false">
      <c r="B36" s="19" t="s">
        <v>388</v>
      </c>
      <c r="C36" s="19"/>
      <c r="D36" s="19"/>
      <c r="E36" s="19"/>
      <c r="F36" s="19"/>
      <c r="G36" s="19"/>
      <c r="H36" s="19"/>
    </row>
    <row r="38" customFormat="false" ht="30" hidden="false" customHeight="true" outlineLevel="0" collapsed="false">
      <c r="B38" s="7" t="s">
        <v>389</v>
      </c>
      <c r="C38" s="48" t="n">
        <v>10</v>
      </c>
      <c r="D38" s="90" t="s">
        <v>390</v>
      </c>
      <c r="E38" s="48" t="n">
        <v>30</v>
      </c>
      <c r="F38" s="24" t="s">
        <v>391</v>
      </c>
    </row>
    <row r="41" customFormat="false" ht="19.5" hidden="false" customHeight="true" outlineLevel="0" collapsed="false">
      <c r="A41" s="6" t="s">
        <v>392</v>
      </c>
      <c r="B41" s="6"/>
      <c r="C41" s="6"/>
      <c r="D41" s="6"/>
      <c r="E41" s="6"/>
      <c r="F41" s="6"/>
      <c r="G41" s="6"/>
    </row>
    <row r="42" customFormat="false" ht="54.75" hidden="false" customHeight="true" outlineLevel="0" collapsed="false">
      <c r="B42" s="19" t="s">
        <v>393</v>
      </c>
      <c r="C42" s="19"/>
      <c r="D42" s="19"/>
      <c r="E42" s="19"/>
      <c r="F42" s="19"/>
      <c r="G42" s="19"/>
      <c r="H42" s="19"/>
    </row>
    <row r="45" customFormat="false" ht="27.75" hidden="false" customHeight="true" outlineLevel="0" collapsed="false">
      <c r="B45" s="76" t="s">
        <v>394</v>
      </c>
      <c r="C45" s="76" t="s">
        <v>395</v>
      </c>
      <c r="D45" s="76" t="s">
        <v>396</v>
      </c>
      <c r="E45" s="76" t="s">
        <v>397</v>
      </c>
      <c r="F45" s="76" t="s">
        <v>398</v>
      </c>
    </row>
    <row r="46" customFormat="false" ht="27.75" hidden="false" customHeight="true" outlineLevel="0" collapsed="false">
      <c r="B46" s="26" t="s">
        <v>399</v>
      </c>
      <c r="C46" s="21" t="n">
        <f aca="false">Assumptions!$E$9</f>
        <v>0.16</v>
      </c>
      <c r="D46" s="21" t="n">
        <f aca="false">Assumptions!$E$8</f>
        <v>0.06</v>
      </c>
      <c r="E46" s="61" t="n">
        <f aca="false">D46-C46</f>
        <v>-0.1</v>
      </c>
      <c r="F46" s="24" t="s">
        <v>400</v>
      </c>
    </row>
    <row r="47" customFormat="false" ht="27.75" hidden="false" customHeight="true" outlineLevel="0" collapsed="false">
      <c r="B47" s="26" t="s">
        <v>401</v>
      </c>
      <c r="C47" s="21" t="n">
        <f aca="false">Assumptions!$E$19</f>
        <v>0.425</v>
      </c>
      <c r="D47" s="21" t="n">
        <f aca="false">Assumptions!$E$18</f>
        <v>0.38</v>
      </c>
      <c r="E47" s="61" t="n">
        <f aca="false">D47-C47</f>
        <v>-0.045</v>
      </c>
      <c r="F47" s="24" t="s">
        <v>402</v>
      </c>
    </row>
    <row r="49" customFormat="false" ht="15" hidden="false" customHeight="false" outlineLevel="0" collapsed="false">
      <c r="B49" s="41" t="s">
        <v>403</v>
      </c>
      <c r="C49" s="18" t="n">
        <f aca="false">Valuation!C114</f>
        <v>13.5088385795399</v>
      </c>
      <c r="D49" s="3" t="s">
        <v>404</v>
      </c>
    </row>
    <row r="50" customFormat="false" ht="15" hidden="false" customHeight="false" outlineLevel="0" collapsed="false">
      <c r="B50" s="41" t="s">
        <v>405</v>
      </c>
      <c r="C50" s="18" t="n">
        <f aca="false">Valuation!C116</f>
        <v>16.2460078474177</v>
      </c>
    </row>
    <row r="52" customFormat="false" ht="42" hidden="false" customHeight="true" outlineLevel="0" collapsed="false">
      <c r="B52" s="19" t="s">
        <v>406</v>
      </c>
      <c r="C52" s="19"/>
      <c r="D52" s="19"/>
      <c r="E52" s="19"/>
      <c r="F52" s="19"/>
      <c r="G52" s="19"/>
      <c r="H52" s="19"/>
    </row>
  </sheetData>
  <mergeCells count="11">
    <mergeCell ref="A2:G2"/>
    <mergeCell ref="B12:H12"/>
    <mergeCell ref="A14:G14"/>
    <mergeCell ref="B15:H15"/>
    <mergeCell ref="A25:G25"/>
    <mergeCell ref="B26:H26"/>
    <mergeCell ref="A35:G35"/>
    <mergeCell ref="B36:H36"/>
    <mergeCell ref="A41:G41"/>
    <mergeCell ref="B42:H42"/>
    <mergeCell ref="B52:H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16"/>
    <col collapsed="false" customWidth="true" hidden="false" outlineLevel="0" max="4" min="4" style="0" width="45"/>
    <col collapsed="false" customWidth="true" hidden="false" outlineLevel="0" max="5" min="5" style="0" width="3"/>
  </cols>
  <sheetData>
    <row r="2" customFormat="false" ht="67.5" hidden="false" customHeight="true" outlineLevel="0" collapsed="false">
      <c r="B2" s="19" t="s">
        <v>407</v>
      </c>
      <c r="C2" s="19"/>
      <c r="D2" s="19"/>
    </row>
    <row r="5" customFormat="false" ht="19.5" hidden="false" customHeight="true" outlineLevel="0" collapsed="false">
      <c r="A5" s="6" t="s">
        <v>408</v>
      </c>
      <c r="B5" s="6"/>
      <c r="C5" s="6"/>
    </row>
    <row r="6" customFormat="false" ht="15" hidden="false" customHeight="false" outlineLevel="0" collapsed="false">
      <c r="B6" s="12" t="s">
        <v>354</v>
      </c>
      <c r="C6" s="12" t="s">
        <v>355</v>
      </c>
      <c r="D6" s="12" t="s">
        <v>356</v>
      </c>
    </row>
    <row r="7" customFormat="false" ht="15" hidden="false" customHeight="false" outlineLevel="0" collapsed="false">
      <c r="B7" s="26" t="s">
        <v>409</v>
      </c>
      <c r="C7" s="77" t="n">
        <v>87.98</v>
      </c>
      <c r="D7" s="38" t="s">
        <v>410</v>
      </c>
    </row>
    <row r="8" customFormat="false" ht="15" hidden="false" customHeight="false" outlineLevel="0" collapsed="false">
      <c r="B8" s="26" t="s">
        <v>411</v>
      </c>
      <c r="C8" s="77" t="n">
        <v>159.47</v>
      </c>
      <c r="D8" s="38" t="s">
        <v>412</v>
      </c>
    </row>
    <row r="9" customFormat="false" ht="15" hidden="false" customHeight="false" outlineLevel="0" collapsed="false">
      <c r="B9" s="26" t="s">
        <v>413</v>
      </c>
      <c r="C9" s="77" t="n">
        <v>49.9</v>
      </c>
      <c r="D9" s="38" t="s">
        <v>414</v>
      </c>
    </row>
    <row r="10" customFormat="false" ht="15" hidden="false" customHeight="false" outlineLevel="0" collapsed="false">
      <c r="B10" s="26" t="s">
        <v>415</v>
      </c>
      <c r="C10" s="77" t="n">
        <v>65.81</v>
      </c>
      <c r="D10" s="38" t="s">
        <v>416</v>
      </c>
    </row>
    <row r="11" customFormat="false" ht="15" hidden="false" customHeight="false" outlineLevel="0" collapsed="false">
      <c r="B11" s="26" t="s">
        <v>417</v>
      </c>
      <c r="C11" s="77" t="n">
        <v>75.15</v>
      </c>
      <c r="D11" s="38" t="s">
        <v>418</v>
      </c>
    </row>
    <row r="12" customFormat="false" ht="15" hidden="false" customHeight="false" outlineLevel="0" collapsed="false">
      <c r="B12" s="26" t="s">
        <v>419</v>
      </c>
      <c r="C12" s="77" t="n">
        <v>87.53</v>
      </c>
      <c r="D12" s="38" t="s">
        <v>420</v>
      </c>
    </row>
    <row r="14" customFormat="false" ht="19.5" hidden="false" customHeight="true" outlineLevel="0" collapsed="false">
      <c r="A14" s="6" t="s">
        <v>421</v>
      </c>
      <c r="B14" s="6"/>
      <c r="C14" s="6"/>
    </row>
    <row r="15" customFormat="false" ht="15" hidden="false" customHeight="false" outlineLevel="0" collapsed="false">
      <c r="B15" s="12" t="s">
        <v>354</v>
      </c>
      <c r="C15" s="12" t="s">
        <v>355</v>
      </c>
      <c r="D15" s="12" t="s">
        <v>356</v>
      </c>
    </row>
    <row r="16" customFormat="false" ht="15" hidden="false" customHeight="false" outlineLevel="0" collapsed="false">
      <c r="B16" s="26" t="s">
        <v>422</v>
      </c>
      <c r="C16" s="91" t="s">
        <v>423</v>
      </c>
      <c r="D16" s="38" t="s">
        <v>424</v>
      </c>
    </row>
    <row r="17" customFormat="false" ht="15" hidden="false" customHeight="false" outlineLevel="0" collapsed="false">
      <c r="B17" s="26" t="s">
        <v>425</v>
      </c>
      <c r="C17" s="91" t="s">
        <v>426</v>
      </c>
      <c r="D17" s="38" t="s">
        <v>427</v>
      </c>
    </row>
    <row r="18" customFormat="false" ht="15" hidden="false" customHeight="false" outlineLevel="0" collapsed="false">
      <c r="B18" s="26" t="s">
        <v>428</v>
      </c>
      <c r="C18" s="91" t="s">
        <v>429</v>
      </c>
      <c r="D18" s="38" t="s">
        <v>430</v>
      </c>
    </row>
    <row r="19" customFormat="false" ht="15" hidden="false" customHeight="false" outlineLevel="0" collapsed="false">
      <c r="B19" s="26" t="s">
        <v>431</v>
      </c>
      <c r="C19" s="91" t="s">
        <v>432</v>
      </c>
      <c r="D19" s="38" t="s">
        <v>433</v>
      </c>
    </row>
    <row r="20" customFormat="false" ht="15" hidden="false" customHeight="false" outlineLevel="0" collapsed="false">
      <c r="B20" s="26" t="s">
        <v>434</v>
      </c>
      <c r="C20" s="91" t="s">
        <v>435</v>
      </c>
      <c r="D20" s="38" t="s">
        <v>436</v>
      </c>
    </row>
    <row r="21" customFormat="false" ht="15" hidden="false" customHeight="false" outlineLevel="0" collapsed="false">
      <c r="B21" s="26" t="s">
        <v>437</v>
      </c>
      <c r="C21" s="91" t="s">
        <v>438</v>
      </c>
      <c r="D21" s="38" t="s">
        <v>439</v>
      </c>
    </row>
    <row r="22" customFormat="false" ht="15" hidden="false" customHeight="false" outlineLevel="0" collapsed="false">
      <c r="B22" s="26" t="s">
        <v>440</v>
      </c>
      <c r="C22" s="91" t="s">
        <v>441</v>
      </c>
      <c r="D22" s="38" t="s">
        <v>442</v>
      </c>
    </row>
  </sheetData>
  <mergeCells count="3">
    <mergeCell ref="B2:D2"/>
    <mergeCell ref="A5:C5"/>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42"/>
    <col collapsed="false" customWidth="true" hidden="false" outlineLevel="0" max="4" min="4" style="0" width="16"/>
    <col collapsed="false" customWidth="true" hidden="false" outlineLevel="0" max="5" min="5" style="0" width="3"/>
  </cols>
  <sheetData>
    <row r="2" customFormat="false" ht="19.5" hidden="false" customHeight="true" outlineLevel="0" collapsed="false">
      <c r="A2" s="6" t="s">
        <v>443</v>
      </c>
      <c r="B2" s="6"/>
      <c r="C2" s="6"/>
    </row>
    <row r="3" customFormat="false" ht="15" hidden="false" customHeight="false" outlineLevel="0" collapsed="false">
      <c r="B3" s="12" t="s">
        <v>444</v>
      </c>
      <c r="C3" s="12" t="s">
        <v>445</v>
      </c>
      <c r="D3" s="12" t="s">
        <v>446</v>
      </c>
    </row>
    <row r="4" customFormat="false" ht="23.85" hidden="false" customHeight="false" outlineLevel="0" collapsed="false">
      <c r="B4" s="81" t="s">
        <v>447</v>
      </c>
      <c r="C4" s="92" t="s">
        <v>448</v>
      </c>
      <c r="D4" s="92" t="s">
        <v>449</v>
      </c>
    </row>
    <row r="5" customFormat="false" ht="23.85" hidden="false" customHeight="false" outlineLevel="0" collapsed="false">
      <c r="B5" s="81" t="s">
        <v>450</v>
      </c>
      <c r="C5" s="92" t="s">
        <v>451</v>
      </c>
      <c r="D5" s="92" t="s">
        <v>452</v>
      </c>
    </row>
    <row r="6" customFormat="false" ht="23.85" hidden="false" customHeight="false" outlineLevel="0" collapsed="false">
      <c r="B6" s="81" t="s">
        <v>453</v>
      </c>
      <c r="C6" s="92" t="s">
        <v>454</v>
      </c>
      <c r="D6" s="92" t="s">
        <v>455</v>
      </c>
    </row>
    <row r="7" customFormat="false" ht="23.85" hidden="false" customHeight="false" outlineLevel="0" collapsed="false">
      <c r="B7" s="81" t="s">
        <v>456</v>
      </c>
      <c r="C7" s="92" t="s">
        <v>457</v>
      </c>
      <c r="D7" s="92" t="s">
        <v>458</v>
      </c>
    </row>
    <row r="8" customFormat="false" ht="23.85" hidden="false" customHeight="false" outlineLevel="0" collapsed="false">
      <c r="B8" s="81" t="s">
        <v>459</v>
      </c>
      <c r="C8" s="92" t="s">
        <v>460</v>
      </c>
      <c r="D8" s="92" t="s">
        <v>461</v>
      </c>
    </row>
    <row r="9" customFormat="false" ht="23.85" hidden="false" customHeight="false" outlineLevel="0" collapsed="false">
      <c r="B9" s="81" t="s">
        <v>462</v>
      </c>
      <c r="C9" s="92" t="s">
        <v>463</v>
      </c>
      <c r="D9" s="92" t="s">
        <v>464</v>
      </c>
    </row>
    <row r="10" customFormat="false" ht="15" hidden="false" customHeight="false" outlineLevel="0" collapsed="false">
      <c r="B10" s="81" t="s">
        <v>465</v>
      </c>
      <c r="C10" s="92" t="s">
        <v>466</v>
      </c>
      <c r="D10" s="92" t="s">
        <v>467</v>
      </c>
    </row>
    <row r="11" customFormat="false" ht="35.05" hidden="false" customHeight="false" outlineLevel="0" collapsed="false">
      <c r="B11" s="81" t="s">
        <v>468</v>
      </c>
      <c r="C11" s="92" t="s">
        <v>469</v>
      </c>
      <c r="D11" s="92" t="s">
        <v>470</v>
      </c>
    </row>
    <row r="12" customFormat="false" ht="23.85" hidden="false" customHeight="false" outlineLevel="0" collapsed="false">
      <c r="B12" s="81" t="s">
        <v>471</v>
      </c>
      <c r="C12" s="92" t="s">
        <v>472</v>
      </c>
      <c r="D12" s="92" t="s">
        <v>473</v>
      </c>
    </row>
    <row r="13" customFormat="false" ht="23.85" hidden="false" customHeight="false" outlineLevel="0" collapsed="false">
      <c r="B13" s="81" t="s">
        <v>474</v>
      </c>
      <c r="C13" s="92" t="s">
        <v>475</v>
      </c>
      <c r="D13" s="92" t="s">
        <v>476</v>
      </c>
    </row>
    <row r="14" customFormat="false" ht="23.85" hidden="false" customHeight="false" outlineLevel="0" collapsed="false">
      <c r="B14" s="81" t="s">
        <v>477</v>
      </c>
      <c r="C14" s="92" t="s">
        <v>478</v>
      </c>
      <c r="D14" s="92" t="s">
        <v>479</v>
      </c>
    </row>
    <row r="15" customFormat="false" ht="23.85" hidden="false" customHeight="false" outlineLevel="0" collapsed="false">
      <c r="B15" s="81" t="s">
        <v>480</v>
      </c>
      <c r="C15" s="92" t="s">
        <v>481</v>
      </c>
      <c r="D15" s="92" t="s">
        <v>482</v>
      </c>
    </row>
    <row r="16" customFormat="false" ht="35.05" hidden="false" customHeight="false" outlineLevel="0" collapsed="false">
      <c r="B16" s="81" t="s">
        <v>483</v>
      </c>
      <c r="C16" s="92" t="s">
        <v>484</v>
      </c>
      <c r="D16" s="92" t="s">
        <v>485</v>
      </c>
    </row>
    <row r="17" customFormat="false" ht="23.85" hidden="false" customHeight="false" outlineLevel="0" collapsed="false">
      <c r="B17" s="81" t="s">
        <v>486</v>
      </c>
      <c r="C17" s="92" t="s">
        <v>487</v>
      </c>
      <c r="D17" s="92" t="s">
        <v>488</v>
      </c>
    </row>
    <row r="19" customFormat="false" ht="19.5" hidden="false" customHeight="true" outlineLevel="0" collapsed="false">
      <c r="A19" s="6" t="s">
        <v>489</v>
      </c>
      <c r="B19" s="6"/>
      <c r="C19" s="6"/>
    </row>
    <row r="20" customFormat="false" ht="15" hidden="false" customHeight="false" outlineLevel="0" collapsed="false">
      <c r="B20" s="12" t="s">
        <v>444</v>
      </c>
      <c r="C20" s="12" t="s">
        <v>445</v>
      </c>
      <c r="D20" s="12" t="s">
        <v>490</v>
      </c>
    </row>
    <row r="21" customFormat="false" ht="23.85" hidden="false" customHeight="false" outlineLevel="0" collapsed="false">
      <c r="B21" s="81" t="s">
        <v>491</v>
      </c>
      <c r="C21" s="92" t="s">
        <v>492</v>
      </c>
      <c r="D21" s="92" t="s">
        <v>493</v>
      </c>
    </row>
    <row r="22" customFormat="false" ht="91" hidden="false" customHeight="false" outlineLevel="0" collapsed="false">
      <c r="B22" s="81" t="s">
        <v>494</v>
      </c>
      <c r="C22" s="92" t="s">
        <v>495</v>
      </c>
      <c r="D22" s="92" t="s">
        <v>496</v>
      </c>
    </row>
    <row r="23" customFormat="false" ht="68.65" hidden="false" customHeight="false" outlineLevel="0" collapsed="false">
      <c r="B23" s="81" t="s">
        <v>497</v>
      </c>
      <c r="C23" s="92" t="s">
        <v>498</v>
      </c>
      <c r="D23" s="92" t="s">
        <v>499</v>
      </c>
    </row>
    <row r="24" customFormat="false" ht="15" hidden="false" customHeight="false" outlineLevel="0" collapsed="false">
      <c r="B24" s="81" t="s">
        <v>500</v>
      </c>
      <c r="C24" s="92" t="s">
        <v>501</v>
      </c>
      <c r="D24" s="92" t="s">
        <v>502</v>
      </c>
    </row>
    <row r="25" customFormat="false" ht="15" hidden="false" customHeight="false" outlineLevel="0" collapsed="false">
      <c r="B25" s="81" t="s">
        <v>503</v>
      </c>
      <c r="C25" s="92" t="s">
        <v>501</v>
      </c>
      <c r="D25" s="92" t="s">
        <v>502</v>
      </c>
    </row>
    <row r="26" customFormat="false" ht="91" hidden="false" customHeight="false" outlineLevel="0" collapsed="false">
      <c r="B26" s="81" t="s">
        <v>504</v>
      </c>
      <c r="C26" s="92" t="s">
        <v>505</v>
      </c>
      <c r="D26" s="92" t="s">
        <v>506</v>
      </c>
    </row>
  </sheetData>
  <mergeCells count="2">
    <mergeCell ref="A2:C2"/>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2"/>
    <col collapsed="false" customWidth="true" hidden="false" outlineLevel="0" max="3" min="3" style="0" width="3"/>
  </cols>
  <sheetData>
    <row r="2" customFormat="false" ht="19.5" hidden="false" customHeight="true" outlineLevel="0" collapsed="false">
      <c r="A2" s="23" t="s">
        <v>507</v>
      </c>
    </row>
    <row r="4" customFormat="false" ht="90" hidden="false" customHeight="true" outlineLevel="0" collapsed="false">
      <c r="B4" s="24" t="s">
        <v>508</v>
      </c>
    </row>
    <row r="5" customFormat="false" ht="90" hidden="false" customHeight="true" outlineLevel="0" collapsed="false">
      <c r="B5" s="24" t="s">
        <v>509</v>
      </c>
    </row>
    <row r="6" customFormat="false" ht="90" hidden="false" customHeight="true" outlineLevel="0" collapsed="false">
      <c r="B6" s="24" t="s">
        <v>510</v>
      </c>
    </row>
    <row r="8" customFormat="false" ht="19.5" hidden="false" customHeight="true" outlineLevel="0" collapsed="false">
      <c r="A8" s="23" t="s">
        <v>511</v>
      </c>
    </row>
    <row r="9" customFormat="false" ht="75" hidden="false" customHeight="true" outlineLevel="0" collapsed="false">
      <c r="B9" s="24" t="s">
        <v>512</v>
      </c>
    </row>
    <row r="10" customFormat="false" ht="75" hidden="false" customHeight="true" outlineLevel="0" collapsed="false">
      <c r="B10" s="24" t="s">
        <v>513</v>
      </c>
    </row>
    <row r="11" customFormat="false" ht="75" hidden="false" customHeight="true" outlineLevel="0" collapsed="false">
      <c r="B11" s="24" t="s">
        <v>514</v>
      </c>
    </row>
    <row r="12" customFormat="false" ht="75" hidden="false" customHeight="true" outlineLevel="0" collapsed="false">
      <c r="B12" s="24" t="s">
        <v>515</v>
      </c>
    </row>
    <row r="13" customFormat="false" ht="75" hidden="false" customHeight="true" outlineLevel="0" collapsed="false">
      <c r="B13" s="24" t="s">
        <v>516</v>
      </c>
    </row>
    <row r="14" customFormat="false" ht="75" hidden="false" customHeight="true" outlineLevel="0" collapsed="false">
      <c r="B14" s="24" t="s">
        <v>517</v>
      </c>
    </row>
    <row r="15" customFormat="false" ht="75" hidden="false" customHeight="true" outlineLevel="0" collapsed="false">
      <c r="B15" s="24" t="s">
        <v>518</v>
      </c>
    </row>
    <row r="17" customFormat="false" ht="19.5" hidden="false" customHeight="true" outlineLevel="0" collapsed="false">
      <c r="A17" s="23" t="s">
        <v>519</v>
      </c>
    </row>
    <row r="18" customFormat="false" ht="99.75" hidden="false" customHeight="true" outlineLevel="0" collapsed="false">
      <c r="B18" s="24" t="s">
        <v>520</v>
      </c>
    </row>
    <row r="19" customFormat="false" ht="99.75" hidden="false" customHeight="true" outlineLevel="0" collapsed="false">
      <c r="B19" s="24" t="s">
        <v>521</v>
      </c>
    </row>
    <row r="20" customFormat="false" ht="99.75" hidden="false" customHeight="true" outlineLevel="0" collapsed="false">
      <c r="B20" s="24" t="s">
        <v>522</v>
      </c>
    </row>
    <row r="21" customFormat="false" ht="99.75" hidden="false" customHeight="true" outlineLevel="0" collapsed="false">
      <c r="B21" s="24" t="s">
        <v>523</v>
      </c>
    </row>
    <row r="22" customFormat="false" ht="99.75" hidden="false" customHeight="true" outlineLevel="0" collapsed="false">
      <c r="B22" s="24" t="s">
        <v>524</v>
      </c>
    </row>
    <row r="23" customFormat="false" ht="99.75" hidden="false" customHeight="true" outlineLevel="0" collapsed="false">
      <c r="B23" s="24" t="s">
        <v>525</v>
      </c>
    </row>
    <row r="24" customFormat="false" ht="99.75" hidden="false" customHeight="true" outlineLevel="0" collapsed="false">
      <c r="B24" s="24" t="s">
        <v>526</v>
      </c>
    </row>
    <row r="25" customFormat="false" ht="99.75" hidden="false" customHeight="true" outlineLevel="0" collapsed="false">
      <c r="B25" s="24" t="s">
        <v>527</v>
      </c>
    </row>
    <row r="26" customFormat="false" ht="99.75" hidden="false" customHeight="true" outlineLevel="0" collapsed="false">
      <c r="B26" s="24" t="s">
        <v>528</v>
      </c>
    </row>
    <row r="28" customFormat="false" ht="19.5" hidden="false" customHeight="true" outlineLevel="0" collapsed="false">
      <c r="A28" s="23" t="s">
        <v>529</v>
      </c>
    </row>
    <row r="29" customFormat="false" ht="25.5" hidden="false" customHeight="true" outlineLevel="0" collapsed="false">
      <c r="B29" s="54" t="s">
        <v>530</v>
      </c>
    </row>
    <row r="30" customFormat="false" ht="7.5" hidden="false" customHeight="true" outlineLevel="0" collapsed="false">
      <c r="B30" s="24"/>
    </row>
    <row r="31" customFormat="false" ht="25.5" hidden="false" customHeight="true" outlineLevel="0" collapsed="false">
      <c r="B31" s="54" t="s">
        <v>531</v>
      </c>
    </row>
    <row r="32" customFormat="false" ht="25.5" hidden="false" customHeight="true" outlineLevel="0" collapsed="false">
      <c r="B32" s="24" t="s">
        <v>532</v>
      </c>
    </row>
    <row r="33" customFormat="false" ht="25.5" hidden="false" customHeight="true" outlineLevel="0" collapsed="false">
      <c r="B33" s="24" t="s">
        <v>533</v>
      </c>
    </row>
    <row r="34" customFormat="false" ht="25.5" hidden="false" customHeight="true" outlineLevel="0" collapsed="false">
      <c r="B34" s="24" t="s">
        <v>534</v>
      </c>
    </row>
    <row r="35" customFormat="false" ht="25.5" hidden="false" customHeight="true" outlineLevel="0" collapsed="false">
      <c r="B35" s="24" t="s">
        <v>535</v>
      </c>
    </row>
    <row r="36" customFormat="false" ht="25.5" hidden="false" customHeight="true" outlineLevel="0" collapsed="false">
      <c r="B36" s="24" t="s">
        <v>536</v>
      </c>
    </row>
    <row r="37" customFormat="false" ht="25.5" hidden="false" customHeight="true" outlineLevel="0" collapsed="false">
      <c r="B37" s="24" t="s">
        <v>537</v>
      </c>
    </row>
    <row r="38" customFormat="false" ht="25.5" hidden="false" customHeight="true" outlineLevel="0" collapsed="false">
      <c r="B38" s="24" t="s">
        <v>538</v>
      </c>
    </row>
    <row r="39" customFormat="false" ht="25.5" hidden="false" customHeight="true" outlineLevel="0" collapsed="false">
      <c r="B39" s="24" t="s">
        <v>539</v>
      </c>
    </row>
    <row r="40" customFormat="false" ht="25.5" hidden="false" customHeight="true" outlineLevel="0" collapsed="false">
      <c r="B40" s="24" t="s">
        <v>540</v>
      </c>
    </row>
    <row r="41" customFormat="false" ht="25.5" hidden="false" customHeight="true" outlineLevel="0" collapsed="false">
      <c r="B41" s="24" t="s">
        <v>541</v>
      </c>
    </row>
    <row r="42" customFormat="false" ht="25.5" hidden="false" customHeight="true" outlineLevel="0" collapsed="false">
      <c r="B42" s="24" t="s">
        <v>542</v>
      </c>
    </row>
    <row r="43" customFormat="false" ht="25.5" hidden="false" customHeight="true" outlineLevel="0" collapsed="false">
      <c r="B43" s="24" t="s">
        <v>543</v>
      </c>
    </row>
    <row r="44" customFormat="false" ht="25.5" hidden="false" customHeight="true" outlineLevel="0" collapsed="false">
      <c r="B44" s="24" t="s">
        <v>544</v>
      </c>
    </row>
    <row r="45" customFormat="false" ht="25.5" hidden="false" customHeight="true" outlineLevel="0" collapsed="false">
      <c r="B45" s="24" t="s">
        <v>545</v>
      </c>
    </row>
    <row r="46" customFormat="false" ht="25.5" hidden="false" customHeight="true" outlineLevel="0" collapsed="false">
      <c r="B46" s="24" t="s">
        <v>546</v>
      </c>
    </row>
    <row r="47" customFormat="false" ht="25.5" hidden="false" customHeight="true" outlineLevel="0" collapsed="false">
      <c r="B47" s="24" t="s">
        <v>547</v>
      </c>
    </row>
    <row r="48" customFormat="false" ht="7.5" hidden="false" customHeight="true" outlineLevel="0" collapsed="false">
      <c r="B48" s="24"/>
    </row>
    <row r="49" customFormat="false" ht="25.5" hidden="false" customHeight="true" outlineLevel="0" collapsed="false">
      <c r="B49" s="54" t="s">
        <v>548</v>
      </c>
    </row>
    <row r="50" customFormat="false" ht="25.5" hidden="false" customHeight="true" outlineLevel="0" collapsed="false">
      <c r="B50" s="24" t="s">
        <v>549</v>
      </c>
    </row>
    <row r="51" customFormat="false" ht="25.5" hidden="false" customHeight="true" outlineLevel="0" collapsed="false">
      <c r="B51" s="24" t="s">
        <v>550</v>
      </c>
    </row>
    <row r="52" customFormat="false" ht="25.5" hidden="false" customHeight="true" outlineLevel="0" collapsed="false">
      <c r="B52" s="24" t="s">
        <v>551</v>
      </c>
    </row>
    <row r="53" customFormat="false" ht="25.5" hidden="false" customHeight="true" outlineLevel="0" collapsed="false">
      <c r="B53" s="24" t="s">
        <v>552</v>
      </c>
    </row>
    <row r="54" customFormat="false" ht="25.5" hidden="false" customHeight="true" outlineLevel="0" collapsed="false">
      <c r="B54" s="24" t="s">
        <v>553</v>
      </c>
    </row>
    <row r="55" customFormat="false" ht="25.5" hidden="false" customHeight="true" outlineLevel="0" collapsed="false">
      <c r="B55" s="24" t="s">
        <v>554</v>
      </c>
    </row>
    <row r="56" customFormat="false" ht="25.5" hidden="false" customHeight="true" outlineLevel="0" collapsed="false">
      <c r="B56" s="24" t="s">
        <v>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2026-08-24T14:24:26Z</dcterms:created>
  <dc:creator>openpyxl</dc:creator>
  <dc:description/>
  <dc:language>en-US</dc:language>
  <cp:lastModifiedBy/>
  <dcterms:modified xsi:type="dcterms:W3CDTF">2026-08-24T14:24:26Z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